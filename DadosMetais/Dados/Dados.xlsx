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Dados\"/>
    </mc:Choice>
  </mc:AlternateContent>
  <xr:revisionPtr revIDLastSave="0" documentId="13_ncr:1_{E3A8B817-CFC3-41F4-8DE4-4738E46E53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 para predça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34" i="1" l="1"/>
  <c r="L29" i="1" l="1"/>
  <c r="L107" i="1" l="1"/>
  <c r="L54" i="1"/>
  <c r="L27" i="1"/>
  <c r="L12" i="1"/>
  <c r="L117" i="1"/>
  <c r="L90" i="1"/>
  <c r="L64" i="1"/>
  <c r="L37" i="1"/>
  <c r="L10" i="1"/>
  <c r="L116" i="1"/>
  <c r="L89" i="1"/>
  <c r="L63" i="1"/>
  <c r="L36" i="1"/>
  <c r="L9" i="1"/>
  <c r="L115" i="1"/>
  <c r="L88" i="1"/>
  <c r="L62" i="1"/>
  <c r="L35" i="1"/>
  <c r="L8" i="1"/>
  <c r="L114" i="1"/>
  <c r="L87" i="1"/>
  <c r="L61" i="1"/>
  <c r="L34" i="1"/>
  <c r="L7" i="1"/>
  <c r="L113" i="1"/>
  <c r="L86" i="1"/>
  <c r="L60" i="1"/>
  <c r="L33" i="1"/>
  <c r="L6" i="1"/>
  <c r="L112" i="1"/>
  <c r="L85" i="1"/>
  <c r="L59" i="1"/>
  <c r="L32" i="1"/>
  <c r="L5" i="1"/>
  <c r="L111" i="1"/>
  <c r="L84" i="1"/>
  <c r="L58" i="1"/>
  <c r="L31" i="1"/>
  <c r="L4" i="1"/>
  <c r="L110" i="1"/>
  <c r="L83" i="1"/>
  <c r="L57" i="1"/>
  <c r="L30" i="1"/>
  <c r="L3" i="1"/>
  <c r="L109" i="1"/>
  <c r="L82" i="1"/>
  <c r="L56" i="1"/>
  <c r="L2" i="1"/>
</calcChain>
</file>

<file path=xl/sharedStrings.xml><?xml version="1.0" encoding="utf-8"?>
<sst xmlns="http://schemas.openxmlformats.org/spreadsheetml/2006/main" count="280" uniqueCount="53">
  <si>
    <t>Campanhas</t>
  </si>
  <si>
    <t>Pontos</t>
  </si>
  <si>
    <t>pH</t>
  </si>
  <si>
    <t>Temp</t>
  </si>
  <si>
    <t>Resist</t>
  </si>
  <si>
    <t>IP</t>
  </si>
  <si>
    <t>As</t>
  </si>
  <si>
    <t>Pb</t>
  </si>
  <si>
    <t>Zn</t>
  </si>
  <si>
    <t>Hg</t>
  </si>
  <si>
    <t>Co</t>
  </si>
  <si>
    <t>V</t>
  </si>
  <si>
    <t>Ba</t>
  </si>
  <si>
    <t>Mn</t>
  </si>
  <si>
    <t>C1</t>
  </si>
  <si>
    <t>P1</t>
  </si>
  <si>
    <t>P2</t>
  </si>
  <si>
    <t>P3</t>
  </si>
  <si>
    <t>P4</t>
  </si>
  <si>
    <t>P5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</si>
  <si>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</si>
  <si>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</si>
  <si>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</si>
  <si>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</si>
  <si>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</si>
  <si>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</si>
  <si>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</si>
  <si>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</si>
  <si>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</si>
  <si>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</si>
  <si>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</si>
  <si>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</si>
  <si>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</si>
  <si>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</si>
  <si>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</si>
  <si>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</si>
  <si>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</si>
  <si>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</si>
  <si>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</si>
  <si>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</si>
  <si>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</si>
  <si>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</si>
  <si>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</si>
  <si>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</si>
  <si>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</si>
  <si>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Fe</t>
  </si>
  <si>
    <t>Al</t>
  </si>
  <si>
    <t>OD</t>
  </si>
  <si>
    <t>Tds</t>
  </si>
  <si>
    <t>ORP</t>
  </si>
  <si>
    <t>Cor</t>
  </si>
  <si>
    <t>Cond</t>
  </si>
  <si>
    <t>Salin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</si>
</sst>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0"/>
      <color rgb="FF000000"/>
      <name val="Arial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u/>
      <sz val="10"/>
      <color theme="1"/>
      <name val="Arial"/>
      <family val="2"/>
    </font>
    <font>
      <u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164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90"/>
  <sheetViews>
    <sheetView tabSelected="1" zoomScale="84" zoomScaleNormal="70" workbookViewId="0">
      <selection activeCell="J8" sqref="J8"/>
    </sheetView>
  </sheetViews>
  <sheetFormatPr defaultColWidth="12.7109375" defaultRowHeight="15.75" customHeight="1" x14ac:dyDescent="0.2"/>
  <cols>
    <col min="1" max="1" width="18.28515625" style="5" customWidth="1"/>
    <col min="2" max="3" width="12.7109375" style="5"/>
    <col min="4" max="4" width="16.28515625" style="5" customWidth="1"/>
    <col min="5" max="5" width="13.85546875" style="5" customWidth="1"/>
    <col min="6" max="6" width="12.7109375" style="5"/>
    <col min="7" max="7" width="15.42578125" style="5" customWidth="1"/>
    <col min="8" max="8" width="16.7109375" style="5" customWidth="1"/>
    <col min="9" max="9" width="12.7109375" style="5"/>
    <col min="10" max="10" width="13" style="5" customWidth="1"/>
    <col min="11" max="12" width="17.28515625" style="5" customWidth="1"/>
    <col min="13" max="13" width="14.5703125" style="5" customWidth="1"/>
    <col min="14" max="14" width="14.140625" style="5" customWidth="1"/>
    <col min="15" max="16" width="12.7109375" style="5"/>
    <col min="17" max="17" width="14.140625" style="5" customWidth="1"/>
    <col min="18" max="18" width="13.85546875" style="5" customWidth="1"/>
    <col min="19" max="20" width="12.7109375" style="5"/>
    <col min="21" max="21" width="13.7109375" style="5" customWidth="1"/>
    <col min="22" max="22" width="13.85546875" style="5" customWidth="1"/>
    <col min="23" max="16384" width="12.7109375" style="5"/>
  </cols>
  <sheetData>
    <row r="1" spans="1:23" ht="15.75" customHeight="1" x14ac:dyDescent="0.2">
      <c r="A1" s="1" t="s">
        <v>0</v>
      </c>
      <c r="B1" s="1" t="s">
        <v>1</v>
      </c>
      <c r="C1" s="1" t="s">
        <v>2</v>
      </c>
      <c r="D1" s="1" t="s">
        <v>51</v>
      </c>
      <c r="E1" s="1" t="s">
        <v>3</v>
      </c>
      <c r="F1" s="1" t="s">
        <v>47</v>
      </c>
      <c r="G1" s="1" t="s">
        <v>48</v>
      </c>
      <c r="H1" s="1" t="s">
        <v>4</v>
      </c>
      <c r="I1" s="1" t="s">
        <v>52</v>
      </c>
      <c r="J1" s="1" t="s">
        <v>49</v>
      </c>
      <c r="K1" s="1" t="s">
        <v>5</v>
      </c>
      <c r="L1" s="1" t="s">
        <v>50</v>
      </c>
      <c r="M1" s="2" t="s">
        <v>45</v>
      </c>
      <c r="N1" s="2" t="s">
        <v>46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4"/>
    </row>
    <row r="2" spans="1:23" ht="15.75" customHeight="1" x14ac:dyDescent="0.2">
      <c r="A2" s="1" t="s">
        <v>14</v>
      </c>
      <c r="B2" s="1" t="s">
        <v>15</v>
      </c>
      <c r="C2" s="2">
        <v>6.42</v>
      </c>
      <c r="D2" s="2">
        <v>109</v>
      </c>
      <c r="E2" s="2">
        <v>29.71</v>
      </c>
      <c r="F2" s="2">
        <v>1.9</v>
      </c>
      <c r="G2" s="2">
        <v>55</v>
      </c>
      <c r="H2" s="2">
        <v>9170</v>
      </c>
      <c r="I2" s="2">
        <v>0.05</v>
      </c>
      <c r="J2" s="2">
        <v>88.6</v>
      </c>
      <c r="K2" s="2">
        <v>15.6</v>
      </c>
      <c r="L2" s="2">
        <f>(0.081/10)*1000</f>
        <v>8.1</v>
      </c>
      <c r="M2" s="2">
        <v>1452.5329999999999</v>
      </c>
      <c r="N2" s="2">
        <v>35.744869999999999</v>
      </c>
      <c r="O2" s="3">
        <v>0.12856134499999999</v>
      </c>
      <c r="P2" s="2">
        <v>0.15405569</v>
      </c>
      <c r="Q2" s="2">
        <v>56.823700000000002</v>
      </c>
      <c r="R2" s="2">
        <v>4.3881000000000003E-2</v>
      </c>
      <c r="S2" s="2">
        <v>0.94588099999999997</v>
      </c>
      <c r="T2" s="3">
        <v>0.82339395599999998</v>
      </c>
      <c r="U2" s="2">
        <v>70.238569999999996</v>
      </c>
      <c r="V2" s="2">
        <v>171.53049999999999</v>
      </c>
      <c r="W2" s="4"/>
    </row>
    <row r="3" spans="1:23" ht="15.75" customHeight="1" x14ac:dyDescent="0.2">
      <c r="A3" s="1" t="s">
        <v>20</v>
      </c>
      <c r="B3" s="1" t="s">
        <v>15</v>
      </c>
      <c r="C3" s="2">
        <v>6.49</v>
      </c>
      <c r="D3" s="2">
        <v>158</v>
      </c>
      <c r="E3" s="2">
        <v>30.87</v>
      </c>
      <c r="F3" s="2">
        <v>2.29</v>
      </c>
      <c r="G3" s="2">
        <v>79</v>
      </c>
      <c r="H3" s="2">
        <v>6329</v>
      </c>
      <c r="I3" s="2">
        <v>7.0000000000000007E-2</v>
      </c>
      <c r="J3" s="2">
        <v>241.7</v>
      </c>
      <c r="K3" s="2">
        <v>8.8000000000000007</v>
      </c>
      <c r="L3" s="2">
        <f t="shared" ref="L3:L30" si="0">(0.077/10)*1000</f>
        <v>7.7</v>
      </c>
      <c r="M3" s="2">
        <v>1310.394</v>
      </c>
      <c r="N3" s="2">
        <v>159.43260000000001</v>
      </c>
      <c r="O3" s="3">
        <v>0.111294692</v>
      </c>
      <c r="P3" s="2">
        <v>1.1495313</v>
      </c>
      <c r="Q3" s="2">
        <v>39.594169999999998</v>
      </c>
      <c r="R3" s="2">
        <v>0.205286</v>
      </c>
      <c r="S3" s="2">
        <v>0.65780499999999997</v>
      </c>
      <c r="T3" s="3">
        <v>0.70768887999999996</v>
      </c>
      <c r="U3" s="2">
        <v>53.502160000000003</v>
      </c>
      <c r="V3" s="2">
        <v>110.1711</v>
      </c>
      <c r="W3" s="4"/>
    </row>
    <row r="4" spans="1:23" ht="15.75" customHeight="1" x14ac:dyDescent="0.2">
      <c r="A4" s="1" t="s">
        <v>21</v>
      </c>
      <c r="B4" s="1" t="s">
        <v>15</v>
      </c>
      <c r="C4" s="2">
        <v>6.75</v>
      </c>
      <c r="D4" s="2">
        <v>197</v>
      </c>
      <c r="E4" s="2">
        <v>29.41</v>
      </c>
      <c r="F4" s="2">
        <v>0.83</v>
      </c>
      <c r="G4" s="2">
        <v>98</v>
      </c>
      <c r="H4" s="2">
        <v>5076</v>
      </c>
      <c r="I4" s="2">
        <v>0.09</v>
      </c>
      <c r="J4" s="2">
        <v>122.5</v>
      </c>
      <c r="K4" s="2">
        <v>72</v>
      </c>
      <c r="L4" s="2">
        <f>(0.084/10)*1000</f>
        <v>8.4</v>
      </c>
      <c r="M4" s="2">
        <v>1781.433</v>
      </c>
      <c r="N4" s="2">
        <v>154.77670000000001</v>
      </c>
      <c r="O4" s="3">
        <v>0.17766409799999999</v>
      </c>
      <c r="P4" s="2">
        <v>9.9894259999999999E-2</v>
      </c>
      <c r="Q4" s="2">
        <v>3.23299</v>
      </c>
      <c r="R4" s="2">
        <v>0.133241</v>
      </c>
      <c r="S4" s="2">
        <v>0.61655199999999999</v>
      </c>
      <c r="T4" s="3">
        <v>0.96686885600000005</v>
      </c>
      <c r="U4" s="2">
        <v>77.035480000000007</v>
      </c>
      <c r="V4" s="2">
        <v>131.56489999999999</v>
      </c>
      <c r="W4" s="4"/>
    </row>
    <row r="5" spans="1:23" ht="15.75" customHeight="1" x14ac:dyDescent="0.2">
      <c r="A5" s="1" t="s">
        <v>22</v>
      </c>
      <c r="B5" s="1" t="s">
        <v>15</v>
      </c>
      <c r="C5" s="2">
        <v>6.77</v>
      </c>
      <c r="D5" s="2">
        <v>181</v>
      </c>
      <c r="E5" s="2">
        <v>29.38</v>
      </c>
      <c r="F5" s="2">
        <v>1.01</v>
      </c>
      <c r="G5" s="2">
        <v>91</v>
      </c>
      <c r="H5" s="2">
        <v>5525</v>
      </c>
      <c r="I5" s="2">
        <v>0.08</v>
      </c>
      <c r="J5" s="2">
        <v>193.4</v>
      </c>
      <c r="K5" s="2">
        <v>28.4</v>
      </c>
      <c r="L5" s="2">
        <f>(0.062/10)*1000</f>
        <v>6.2</v>
      </c>
      <c r="M5" s="2">
        <v>1230.1759999999999</v>
      </c>
      <c r="N5" s="2">
        <v>18.402519999999999</v>
      </c>
      <c r="O5" s="3">
        <v>0.11833213400000001</v>
      </c>
      <c r="P5" s="2">
        <v>0.13013468</v>
      </c>
      <c r="Q5" s="2">
        <v>7.0624500000000001</v>
      </c>
      <c r="R5" s="2">
        <v>9.7101999999999994E-2</v>
      </c>
      <c r="S5" s="2">
        <v>0.50854699999999997</v>
      </c>
      <c r="T5" s="3">
        <v>0.85529870600000002</v>
      </c>
      <c r="U5" s="2">
        <v>65.090699999999998</v>
      </c>
      <c r="V5" s="2">
        <v>90.74333</v>
      </c>
      <c r="W5" s="4"/>
    </row>
    <row r="6" spans="1:23" ht="15.75" customHeight="1" x14ac:dyDescent="0.2">
      <c r="A6" s="1" t="s">
        <v>23</v>
      </c>
      <c r="B6" s="1" t="s">
        <v>15</v>
      </c>
      <c r="C6" s="2">
        <v>6.51</v>
      </c>
      <c r="D6" s="2">
        <v>105</v>
      </c>
      <c r="E6" s="2">
        <v>29.18</v>
      </c>
      <c r="F6" s="2">
        <v>2.75</v>
      </c>
      <c r="G6" s="2">
        <v>53</v>
      </c>
      <c r="H6" s="2">
        <v>9520</v>
      </c>
      <c r="I6" s="2">
        <v>0.05</v>
      </c>
      <c r="J6" s="2">
        <v>121.8</v>
      </c>
      <c r="K6" s="2">
        <v>85.6</v>
      </c>
      <c r="L6" s="2">
        <f>(0.081/10)*1000</f>
        <v>8.1</v>
      </c>
      <c r="M6" s="2">
        <v>1366.422</v>
      </c>
      <c r="N6" s="2">
        <v>260.66820000000001</v>
      </c>
      <c r="O6" s="3">
        <v>0.126043871</v>
      </c>
      <c r="P6" s="2">
        <v>1.6811731700000001</v>
      </c>
      <c r="Q6" s="2">
        <v>21.66846</v>
      </c>
      <c r="R6" s="2">
        <v>8.0332000000000001E-2</v>
      </c>
      <c r="S6" s="2">
        <v>0.35114000000000001</v>
      </c>
      <c r="T6" s="3">
        <v>1.233136615</v>
      </c>
      <c r="U6" s="2">
        <v>56.598529999999997</v>
      </c>
      <c r="V6" s="2">
        <v>28.103339999999999</v>
      </c>
      <c r="W6" s="4"/>
    </row>
    <row r="7" spans="1:23" ht="15.75" customHeight="1" x14ac:dyDescent="0.2">
      <c r="A7" s="1" t="s">
        <v>24</v>
      </c>
      <c r="B7" s="1" t="s">
        <v>15</v>
      </c>
      <c r="C7" s="2">
        <v>6.2</v>
      </c>
      <c r="D7" s="2">
        <v>80</v>
      </c>
      <c r="E7" s="2">
        <v>27.58</v>
      </c>
      <c r="F7" s="2">
        <v>1.52</v>
      </c>
      <c r="G7" s="2">
        <v>40</v>
      </c>
      <c r="H7" s="2">
        <v>12500</v>
      </c>
      <c r="I7" s="2">
        <v>0.04</v>
      </c>
      <c r="J7" s="2">
        <v>122.4</v>
      </c>
      <c r="K7" s="2">
        <v>69</v>
      </c>
      <c r="L7" s="2">
        <f>(0.108/10)*1000</f>
        <v>10.8</v>
      </c>
      <c r="M7" s="2">
        <v>1327.779</v>
      </c>
      <c r="N7" s="2">
        <v>323.45010000000002</v>
      </c>
      <c r="O7" s="3">
        <v>0.112036791</v>
      </c>
      <c r="P7" s="2">
        <v>9.18263E-2</v>
      </c>
      <c r="Q7" s="2">
        <v>3.8314620000000001</v>
      </c>
      <c r="R7" s="2">
        <v>4.3895000000000003E-2</v>
      </c>
      <c r="S7" s="2">
        <v>0.31677300000000003</v>
      </c>
      <c r="T7" s="3">
        <v>0.85651999999999995</v>
      </c>
      <c r="U7" s="2">
        <v>48.568350000000002</v>
      </c>
      <c r="V7" s="2">
        <v>25.000129999999999</v>
      </c>
      <c r="W7" s="4"/>
    </row>
    <row r="8" spans="1:23" ht="15" x14ac:dyDescent="0.2">
      <c r="A8" s="1" t="s">
        <v>25</v>
      </c>
      <c r="B8" s="1" t="s">
        <v>15</v>
      </c>
      <c r="C8" s="2">
        <v>6.3</v>
      </c>
      <c r="D8" s="2">
        <v>85</v>
      </c>
      <c r="E8" s="2">
        <v>28.32</v>
      </c>
      <c r="F8" s="2">
        <v>1.36</v>
      </c>
      <c r="G8" s="2">
        <v>43</v>
      </c>
      <c r="H8" s="2">
        <v>11760</v>
      </c>
      <c r="I8" s="2">
        <v>0.04</v>
      </c>
      <c r="J8" s="10">
        <v>103.6</v>
      </c>
      <c r="K8" s="2">
        <v>18.600000000000001</v>
      </c>
      <c r="L8" s="2">
        <f>(0.084/10)*1000</f>
        <v>8.4</v>
      </c>
      <c r="M8" s="2">
        <v>1187.857</v>
      </c>
      <c r="N8" s="2">
        <v>166.77440000000001</v>
      </c>
      <c r="O8" s="3">
        <v>0.12555303100000001</v>
      </c>
      <c r="P8" s="2">
        <v>8.2928559999999998E-2</v>
      </c>
      <c r="Q8" s="2">
        <v>6.8994559999999998</v>
      </c>
      <c r="R8" s="2">
        <v>3.2899999999999999E-2</v>
      </c>
      <c r="S8" s="2">
        <v>0.55576400000000004</v>
      </c>
      <c r="T8" s="3">
        <v>0.66903844700000004</v>
      </c>
      <c r="U8" s="2">
        <v>56.837060000000001</v>
      </c>
      <c r="V8" s="2">
        <v>63.36506</v>
      </c>
      <c r="W8" s="9"/>
    </row>
    <row r="9" spans="1:23" ht="15" x14ac:dyDescent="0.2">
      <c r="A9" s="1" t="s">
        <v>26</v>
      </c>
      <c r="B9" s="1" t="s">
        <v>15</v>
      </c>
      <c r="C9" s="2">
        <v>6.26</v>
      </c>
      <c r="D9" s="2">
        <v>88</v>
      </c>
      <c r="E9" s="2">
        <v>28.68</v>
      </c>
      <c r="F9" s="2">
        <v>1.54</v>
      </c>
      <c r="G9" s="2">
        <v>44</v>
      </c>
      <c r="H9" s="2">
        <v>11360</v>
      </c>
      <c r="I9" s="2">
        <v>0.04</v>
      </c>
      <c r="J9" s="2">
        <v>145.80000000000001</v>
      </c>
      <c r="K9" s="2">
        <v>1.2</v>
      </c>
      <c r="L9" s="2">
        <f>(0.075/10)*1000</f>
        <v>7.5</v>
      </c>
      <c r="M9" s="2">
        <v>1193.126</v>
      </c>
      <c r="N9" s="2">
        <v>54.873759999999997</v>
      </c>
      <c r="O9" s="3">
        <v>0.12307225099999999</v>
      </c>
      <c r="P9" s="2">
        <v>0.23987707</v>
      </c>
      <c r="Q9" s="2">
        <v>10.955299999999999</v>
      </c>
      <c r="R9" s="2">
        <v>3.5500999999999998E-2</v>
      </c>
      <c r="S9" s="2">
        <v>1.3038339999999999</v>
      </c>
      <c r="T9" s="3">
        <v>0.60681274699999999</v>
      </c>
      <c r="U9" s="2">
        <v>66.099739999999997</v>
      </c>
      <c r="V9" s="2">
        <v>262.84109999999998</v>
      </c>
      <c r="W9" s="7"/>
    </row>
    <row r="10" spans="1:23" ht="15" x14ac:dyDescent="0.2">
      <c r="A10" s="1" t="s">
        <v>27</v>
      </c>
      <c r="B10" s="1" t="s">
        <v>15</v>
      </c>
      <c r="C10" s="2">
        <v>6.48</v>
      </c>
      <c r="D10" s="2">
        <v>107</v>
      </c>
      <c r="E10" s="2">
        <v>29.85</v>
      </c>
      <c r="F10" s="2">
        <v>1.66</v>
      </c>
      <c r="G10" s="2">
        <v>54</v>
      </c>
      <c r="H10" s="2">
        <v>9350</v>
      </c>
      <c r="I10" s="2">
        <v>0.05</v>
      </c>
      <c r="J10" s="2">
        <v>111.8</v>
      </c>
      <c r="K10" s="2">
        <v>11.6</v>
      </c>
      <c r="L10" s="2">
        <f t="shared" ref="L10:L37" si="1">(0.069/10)*1000</f>
        <v>6.9</v>
      </c>
      <c r="M10" s="2">
        <v>1180.3989999999999</v>
      </c>
      <c r="N10" s="2">
        <v>15.276619999999999</v>
      </c>
      <c r="O10" s="3">
        <v>0.12904191200000001</v>
      </c>
      <c r="P10" s="2">
        <v>0.23289471</v>
      </c>
      <c r="Q10" s="2">
        <v>11.82574</v>
      </c>
      <c r="R10" s="2">
        <v>5.9501999999999999E-2</v>
      </c>
      <c r="S10" s="2">
        <v>0.41758600000000001</v>
      </c>
      <c r="T10" s="3">
        <v>0.58460174600000003</v>
      </c>
      <c r="U10" s="2">
        <v>53.236939999999997</v>
      </c>
      <c r="V10" s="2">
        <v>85.188999999999993</v>
      </c>
      <c r="W10" s="6"/>
    </row>
    <row r="11" spans="1:23" ht="15" x14ac:dyDescent="0.2">
      <c r="A11" s="1" t="s">
        <v>28</v>
      </c>
      <c r="B11" s="1" t="s">
        <v>15</v>
      </c>
      <c r="C11" s="2">
        <v>6.68</v>
      </c>
      <c r="D11" s="2">
        <v>127</v>
      </c>
      <c r="E11" s="2">
        <v>29.34</v>
      </c>
      <c r="F11" s="2">
        <v>2.46</v>
      </c>
      <c r="G11" s="2">
        <v>63</v>
      </c>
      <c r="H11" s="2">
        <v>7870</v>
      </c>
      <c r="I11" s="2">
        <v>0.06</v>
      </c>
      <c r="J11" s="2">
        <v>105.6</v>
      </c>
      <c r="K11" s="2">
        <v>32.4</v>
      </c>
      <c r="L11" s="2">
        <v>7.1</v>
      </c>
      <c r="M11" s="2">
        <v>1036.309</v>
      </c>
      <c r="N11" s="2">
        <v>23.54646</v>
      </c>
      <c r="O11" s="3">
        <v>0.13258903799999999</v>
      </c>
      <c r="P11" s="2">
        <v>0.36906241000000001</v>
      </c>
      <c r="Q11" s="2">
        <v>16.900970000000001</v>
      </c>
      <c r="R11" s="2">
        <v>5.7334999999999997E-2</v>
      </c>
      <c r="S11" s="2">
        <v>0.31261299999999997</v>
      </c>
      <c r="T11" s="3">
        <v>0.72143730699999997</v>
      </c>
      <c r="U11" s="2">
        <v>53.290390000000002</v>
      </c>
      <c r="V11" s="2">
        <v>54.14846</v>
      </c>
      <c r="W11" s="6"/>
    </row>
    <row r="12" spans="1:23" ht="15" x14ac:dyDescent="0.2">
      <c r="A12" s="1" t="s">
        <v>29</v>
      </c>
      <c r="B12" s="1" t="s">
        <v>15</v>
      </c>
      <c r="C12" s="2">
        <v>6.63</v>
      </c>
      <c r="D12" s="2">
        <v>132</v>
      </c>
      <c r="E12" s="2">
        <v>29.63</v>
      </c>
      <c r="F12" s="2">
        <v>3.22</v>
      </c>
      <c r="G12" s="2">
        <v>66</v>
      </c>
      <c r="H12" s="2">
        <v>7580</v>
      </c>
      <c r="I12" s="2">
        <v>0.06</v>
      </c>
      <c r="J12" s="2">
        <v>129.19999999999999</v>
      </c>
      <c r="K12" s="2">
        <v>23.4</v>
      </c>
      <c r="L12" s="2">
        <f>(0.069/10)*1000</f>
        <v>6.9</v>
      </c>
      <c r="M12" s="2">
        <v>1119.1659999999999</v>
      </c>
      <c r="N12" s="2">
        <v>30.446639999999999</v>
      </c>
      <c r="O12" s="3">
        <v>0.15478116</v>
      </c>
      <c r="P12" s="2">
        <v>1.7519531500000001</v>
      </c>
      <c r="Q12" s="2">
        <v>47.303690000000003</v>
      </c>
      <c r="R12" s="2">
        <v>0.29445700000000002</v>
      </c>
      <c r="S12" s="2">
        <v>0.46476000000000001</v>
      </c>
      <c r="T12" s="3">
        <v>0.77392509600000003</v>
      </c>
      <c r="U12" s="2">
        <v>65.203339999999997</v>
      </c>
      <c r="V12" s="2">
        <v>88.077740000000006</v>
      </c>
      <c r="W12" s="8"/>
    </row>
    <row r="13" spans="1:23" ht="15" x14ac:dyDescent="0.2">
      <c r="A13" s="1" t="s">
        <v>30</v>
      </c>
      <c r="B13" s="1" t="s">
        <v>15</v>
      </c>
      <c r="C13" s="2">
        <v>6.53</v>
      </c>
      <c r="D13" s="2">
        <v>182</v>
      </c>
      <c r="E13" s="2">
        <v>27.9</v>
      </c>
      <c r="F13" s="2">
        <v>1.18</v>
      </c>
      <c r="G13" s="2">
        <v>91</v>
      </c>
      <c r="H13" s="2">
        <v>5495</v>
      </c>
      <c r="I13" s="2">
        <v>0.08</v>
      </c>
      <c r="J13" s="2">
        <v>81.900000000000006</v>
      </c>
      <c r="K13" s="2">
        <v>40.6</v>
      </c>
      <c r="L13" s="2">
        <v>6.9</v>
      </c>
      <c r="M13" s="2">
        <v>788.71299999999997</v>
      </c>
      <c r="N13" s="3">
        <v>7.1614170000000001</v>
      </c>
      <c r="O13" s="3">
        <v>0.13290934099999999</v>
      </c>
      <c r="P13" s="2">
        <v>6.238109E-2</v>
      </c>
      <c r="Q13" s="2">
        <v>3.5391949999999999</v>
      </c>
      <c r="R13" s="2">
        <v>3.5497000000000001E-2</v>
      </c>
      <c r="S13" s="2">
        <v>0.32745000000000002</v>
      </c>
      <c r="T13" s="3">
        <v>0.54805291599999995</v>
      </c>
      <c r="U13" s="2">
        <v>56.62039</v>
      </c>
      <c r="V13" s="2">
        <v>60.645499999999998</v>
      </c>
      <c r="W13" s="6"/>
    </row>
    <row r="14" spans="1:23" ht="15" x14ac:dyDescent="0.2">
      <c r="A14" s="1" t="s">
        <v>31</v>
      </c>
      <c r="B14" s="1" t="s">
        <v>15</v>
      </c>
      <c r="C14" s="2">
        <v>6.32</v>
      </c>
      <c r="D14" s="2">
        <v>114</v>
      </c>
      <c r="E14" s="2">
        <v>26.89</v>
      </c>
      <c r="F14" s="2">
        <v>3.01</v>
      </c>
      <c r="G14" s="2">
        <v>57</v>
      </c>
      <c r="H14" s="2">
        <v>8770</v>
      </c>
      <c r="I14" s="2">
        <v>0.05</v>
      </c>
      <c r="J14" s="2">
        <v>153.4</v>
      </c>
      <c r="K14" s="2">
        <v>16</v>
      </c>
      <c r="L14" s="2">
        <v>7</v>
      </c>
      <c r="M14" s="2">
        <v>562.47799999999995</v>
      </c>
      <c r="N14" s="3">
        <v>59.647069999999999</v>
      </c>
      <c r="O14" s="2">
        <v>0.11687699999999999</v>
      </c>
      <c r="P14" s="2">
        <v>0.187749</v>
      </c>
      <c r="Q14" s="2">
        <v>6.6105470000000004</v>
      </c>
      <c r="R14" s="2">
        <v>0.56813999999999998</v>
      </c>
      <c r="S14" s="2">
        <v>0.19106300000000001</v>
      </c>
      <c r="T14" s="2">
        <v>0.49150300000000002</v>
      </c>
      <c r="U14" s="2">
        <v>41.258740000000003</v>
      </c>
      <c r="V14" s="2">
        <v>26.60127</v>
      </c>
      <c r="W14" s="6"/>
    </row>
    <row r="15" spans="1:23" ht="15" x14ac:dyDescent="0.2">
      <c r="A15" s="1" t="s">
        <v>32</v>
      </c>
      <c r="B15" s="1" t="s">
        <v>15</v>
      </c>
      <c r="C15" s="2">
        <v>6.29</v>
      </c>
      <c r="D15" s="2">
        <v>93</v>
      </c>
      <c r="E15" s="2">
        <v>25.87</v>
      </c>
      <c r="F15" s="2">
        <v>2.15</v>
      </c>
      <c r="G15" s="2">
        <v>47</v>
      </c>
      <c r="H15" s="2">
        <v>10750</v>
      </c>
      <c r="I15" s="2">
        <v>0.04</v>
      </c>
      <c r="J15" s="2">
        <v>146.9</v>
      </c>
      <c r="K15" s="2">
        <v>39.799999999999997</v>
      </c>
      <c r="L15" s="2">
        <v>6</v>
      </c>
      <c r="M15" s="2">
        <v>787.26649999999995</v>
      </c>
      <c r="N15" s="3">
        <v>99.942279999999997</v>
      </c>
      <c r="O15" s="2">
        <v>0.13269300000000001</v>
      </c>
      <c r="P15" s="2">
        <v>0.23208200000000001</v>
      </c>
      <c r="Q15" s="2">
        <v>7.1948449999999999</v>
      </c>
      <c r="R15" s="2">
        <v>0.14871100000000001</v>
      </c>
      <c r="S15" s="2">
        <v>0.232234</v>
      </c>
      <c r="T15" s="2">
        <v>0.637992</v>
      </c>
      <c r="U15" s="2">
        <v>47.75667</v>
      </c>
      <c r="V15" s="2">
        <v>23.639669999999999</v>
      </c>
      <c r="W15" s="6"/>
    </row>
    <row r="16" spans="1:23" ht="15" x14ac:dyDescent="0.2">
      <c r="A16" s="1" t="s">
        <v>33</v>
      </c>
      <c r="B16" s="1" t="s">
        <v>15</v>
      </c>
      <c r="C16" s="2">
        <v>6.4</v>
      </c>
      <c r="D16" s="2">
        <v>97</v>
      </c>
      <c r="E16" s="2">
        <v>26.07</v>
      </c>
      <c r="F16" s="2">
        <v>2.87</v>
      </c>
      <c r="G16" s="2">
        <v>49</v>
      </c>
      <c r="H16" s="2">
        <v>10310</v>
      </c>
      <c r="I16" s="2">
        <v>0.04</v>
      </c>
      <c r="J16" s="2">
        <v>128.9</v>
      </c>
      <c r="K16" s="2">
        <v>60.4</v>
      </c>
      <c r="L16" s="2">
        <v>7.4</v>
      </c>
      <c r="M16" s="2">
        <v>1100</v>
      </c>
      <c r="N16" s="3">
        <v>115</v>
      </c>
      <c r="O16" s="2">
        <v>9.8914058999999999E-2</v>
      </c>
      <c r="P16" s="2">
        <v>0.10150519</v>
      </c>
      <c r="Q16" s="2">
        <v>39.952570000000001</v>
      </c>
      <c r="R16" s="2">
        <v>2.7053000000000001E-2</v>
      </c>
      <c r="S16" s="2">
        <v>0.30632900000000002</v>
      </c>
      <c r="T16" s="2">
        <v>0.96942300000000003</v>
      </c>
      <c r="U16" s="2">
        <v>59.018740000000001</v>
      </c>
      <c r="V16" s="2">
        <v>24.210750000000001</v>
      </c>
      <c r="W16" s="6"/>
    </row>
    <row r="17" spans="1:23" ht="15" x14ac:dyDescent="0.2">
      <c r="A17" s="1" t="s">
        <v>34</v>
      </c>
      <c r="B17" s="1" t="s">
        <v>15</v>
      </c>
      <c r="C17" s="2">
        <v>6.34</v>
      </c>
      <c r="D17" s="2">
        <v>82</v>
      </c>
      <c r="E17" s="2">
        <v>25.04</v>
      </c>
      <c r="F17" s="2">
        <v>2.36</v>
      </c>
      <c r="G17" s="2">
        <v>41</v>
      </c>
      <c r="H17" s="2">
        <v>12200</v>
      </c>
      <c r="I17" s="2">
        <v>0.04</v>
      </c>
      <c r="J17" s="2">
        <v>132.4</v>
      </c>
      <c r="K17" s="2">
        <v>73.599999999999994</v>
      </c>
      <c r="L17" s="2">
        <v>7.4</v>
      </c>
      <c r="M17" s="2">
        <v>448.21289999999999</v>
      </c>
      <c r="N17" s="3">
        <v>78.725719999999995</v>
      </c>
      <c r="O17" s="2">
        <v>0.14463000000000001</v>
      </c>
      <c r="P17" s="2">
        <v>3.142802871879679E-2</v>
      </c>
      <c r="Q17" s="2">
        <v>8.9253540000000005</v>
      </c>
      <c r="R17" s="2">
        <v>7.6647999999999994E-2</v>
      </c>
      <c r="S17" s="2">
        <v>0.12831000000000001</v>
      </c>
      <c r="T17" s="2">
        <v>0.64743799999999996</v>
      </c>
      <c r="U17" s="2">
        <v>44.80133</v>
      </c>
      <c r="V17" s="2">
        <v>9.6989210000000003</v>
      </c>
      <c r="W17" s="6"/>
    </row>
    <row r="18" spans="1:23" ht="15" x14ac:dyDescent="0.2">
      <c r="A18" s="1" t="s">
        <v>35</v>
      </c>
      <c r="B18" s="1" t="s">
        <v>15</v>
      </c>
      <c r="C18" s="2">
        <v>6.39</v>
      </c>
      <c r="D18" s="2">
        <v>83</v>
      </c>
      <c r="E18" s="2">
        <v>25.19</v>
      </c>
      <c r="F18" s="2">
        <v>1.94</v>
      </c>
      <c r="G18" s="2">
        <v>41</v>
      </c>
      <c r="H18" s="2">
        <v>12050</v>
      </c>
      <c r="I18" s="2">
        <v>0.04</v>
      </c>
      <c r="J18" s="2">
        <v>132</v>
      </c>
      <c r="K18" s="2">
        <v>13.2</v>
      </c>
      <c r="L18" s="2">
        <v>7.1</v>
      </c>
      <c r="M18" s="2">
        <v>438.3886</v>
      </c>
      <c r="N18" s="3">
        <v>2.888261</v>
      </c>
      <c r="O18" s="2">
        <v>0.10277799999999999</v>
      </c>
      <c r="P18" s="2">
        <v>0.12609000000000001</v>
      </c>
      <c r="Q18" s="2">
        <v>11.122629999999999</v>
      </c>
      <c r="R18" s="2">
        <v>3.7239000000000001E-2</v>
      </c>
      <c r="S18" s="2">
        <v>0.14435100000000001</v>
      </c>
      <c r="T18" s="2">
        <v>0.331181</v>
      </c>
      <c r="U18" s="2">
        <v>45.575270000000003</v>
      </c>
      <c r="V18" s="2">
        <v>13.247730000000001</v>
      </c>
      <c r="W18" s="6"/>
    </row>
    <row r="19" spans="1:23" ht="15" x14ac:dyDescent="0.2">
      <c r="A19" s="1" t="s">
        <v>36</v>
      </c>
      <c r="B19" s="1" t="s">
        <v>15</v>
      </c>
      <c r="C19" s="2">
        <v>6.21</v>
      </c>
      <c r="D19" s="2">
        <v>77</v>
      </c>
      <c r="E19" s="2">
        <v>24.86</v>
      </c>
      <c r="F19" s="2">
        <v>1.86</v>
      </c>
      <c r="G19" s="2">
        <v>38</v>
      </c>
      <c r="H19" s="2">
        <v>12990</v>
      </c>
      <c r="I19" s="2">
        <v>0.03</v>
      </c>
      <c r="J19" s="2">
        <v>128.30000000000001</v>
      </c>
      <c r="K19" s="2">
        <v>0.8</v>
      </c>
      <c r="L19" s="2">
        <v>6.5</v>
      </c>
      <c r="M19" s="2">
        <v>719.88070000000005</v>
      </c>
      <c r="N19" s="3">
        <v>113.8048</v>
      </c>
      <c r="O19" s="2">
        <v>8.3474000000000007E-2</v>
      </c>
      <c r="P19" s="2">
        <v>0.89937900000000004</v>
      </c>
      <c r="Q19" s="2">
        <v>39.870040000000003</v>
      </c>
      <c r="R19" s="2">
        <v>3.5706000000000002E-2</v>
      </c>
      <c r="S19" s="2">
        <v>0.222362</v>
      </c>
      <c r="T19" s="2">
        <v>0.290354</v>
      </c>
      <c r="U19" s="2">
        <v>43.582709999999999</v>
      </c>
      <c r="V19" s="2">
        <v>43.437829999999998</v>
      </c>
      <c r="W19" s="6"/>
    </row>
    <row r="20" spans="1:23" ht="15" x14ac:dyDescent="0.2">
      <c r="A20" s="1" t="s">
        <v>37</v>
      </c>
      <c r="B20" s="1" t="s">
        <v>15</v>
      </c>
      <c r="C20" s="2">
        <v>6.54</v>
      </c>
      <c r="D20" s="2">
        <v>94</v>
      </c>
      <c r="E20" s="2">
        <v>25.06</v>
      </c>
      <c r="F20" s="2">
        <v>1.31</v>
      </c>
      <c r="G20" s="2">
        <v>47</v>
      </c>
      <c r="H20" s="2">
        <v>10640</v>
      </c>
      <c r="I20" s="2">
        <v>0.04</v>
      </c>
      <c r="J20" s="2">
        <v>148.9</v>
      </c>
      <c r="K20" s="2">
        <v>16.2</v>
      </c>
      <c r="L20" s="2">
        <v>2.1</v>
      </c>
      <c r="M20" s="2">
        <v>603.19330000000002</v>
      </c>
      <c r="N20" s="3">
        <v>56.70205</v>
      </c>
      <c r="O20" s="2">
        <v>0.156003</v>
      </c>
      <c r="P20" s="2">
        <v>1.213325</v>
      </c>
      <c r="Q20" s="2">
        <v>57.605060000000002</v>
      </c>
      <c r="R20" s="2">
        <v>1.5931097447065654E-2</v>
      </c>
      <c r="S20" s="2">
        <v>0.167712</v>
      </c>
      <c r="T20" s="2">
        <v>0.50721499999999997</v>
      </c>
      <c r="U20" s="2">
        <v>41.992739999999998</v>
      </c>
      <c r="V20" s="2">
        <v>21.91067</v>
      </c>
      <c r="W20" s="6"/>
    </row>
    <row r="21" spans="1:23" ht="15" x14ac:dyDescent="0.2">
      <c r="A21" s="1" t="s">
        <v>38</v>
      </c>
      <c r="B21" s="1" t="s">
        <v>15</v>
      </c>
      <c r="C21" s="2">
        <v>6.66</v>
      </c>
      <c r="D21" s="2">
        <v>109</v>
      </c>
      <c r="E21" s="2">
        <v>24.49</v>
      </c>
      <c r="F21" s="2">
        <v>2.4300000000000002</v>
      </c>
      <c r="G21" s="2">
        <v>54</v>
      </c>
      <c r="H21" s="2">
        <v>9170</v>
      </c>
      <c r="I21" s="2">
        <v>0.05</v>
      </c>
      <c r="J21" s="2">
        <v>121.6</v>
      </c>
      <c r="K21" s="2">
        <v>14.4</v>
      </c>
      <c r="L21" s="2">
        <v>5.7</v>
      </c>
      <c r="M21" s="2">
        <v>402.79469999999998</v>
      </c>
      <c r="N21" s="3">
        <v>26.880800000000001</v>
      </c>
      <c r="O21" s="2">
        <v>6.9246000000000002E-2</v>
      </c>
      <c r="P21" s="2">
        <v>0.208847</v>
      </c>
      <c r="Q21" s="2">
        <v>11.117990000000001</v>
      </c>
      <c r="R21" s="2">
        <v>1.5931097447065654E-2</v>
      </c>
      <c r="S21" s="2">
        <v>0.12423099999999999</v>
      </c>
      <c r="T21" s="2">
        <v>0.329901</v>
      </c>
      <c r="U21" s="2">
        <v>37.68027</v>
      </c>
      <c r="V21" s="2">
        <v>18.61553</v>
      </c>
      <c r="W21" s="6"/>
    </row>
    <row r="22" spans="1:23" ht="15" x14ac:dyDescent="0.2">
      <c r="A22" s="1" t="s">
        <v>39</v>
      </c>
      <c r="B22" s="1" t="s">
        <v>15</v>
      </c>
      <c r="C22" s="3">
        <v>6.69</v>
      </c>
      <c r="D22" s="3">
        <v>220</v>
      </c>
      <c r="E22" s="3">
        <v>26.15</v>
      </c>
      <c r="F22" s="3">
        <v>2.0699999999999998</v>
      </c>
      <c r="G22" s="3">
        <v>110</v>
      </c>
      <c r="H22" s="3">
        <v>4545</v>
      </c>
      <c r="I22" s="3">
        <v>0.1</v>
      </c>
      <c r="J22" s="3">
        <v>123.8</v>
      </c>
      <c r="K22" s="3">
        <v>7.71</v>
      </c>
      <c r="L22" s="3">
        <v>5.8</v>
      </c>
      <c r="M22" s="2">
        <v>96.113399999999999</v>
      </c>
      <c r="N22" s="3">
        <v>23.59704</v>
      </c>
      <c r="O22" s="2">
        <v>8.7559999999999999E-2</v>
      </c>
      <c r="P22" s="2">
        <v>2.0527730000000002</v>
      </c>
      <c r="Q22" s="2">
        <v>14.01103</v>
      </c>
      <c r="R22" s="2">
        <v>1.5931097447065654E-2</v>
      </c>
      <c r="S22" s="2">
        <v>0.11439199999999999</v>
      </c>
      <c r="T22" s="2">
        <v>0.31012000000000001</v>
      </c>
      <c r="U22" s="2">
        <v>48.80818</v>
      </c>
      <c r="V22" s="2">
        <v>16.119910000000001</v>
      </c>
      <c r="W22" s="6"/>
    </row>
    <row r="23" spans="1:23" ht="15" x14ac:dyDescent="0.2">
      <c r="A23" s="1" t="s">
        <v>40</v>
      </c>
      <c r="B23" s="1" t="s">
        <v>15</v>
      </c>
      <c r="C23" s="3">
        <v>6.54</v>
      </c>
      <c r="D23" s="3">
        <v>114</v>
      </c>
      <c r="E23" s="3">
        <v>26.34</v>
      </c>
      <c r="F23" s="3">
        <v>2.94</v>
      </c>
      <c r="G23" s="3">
        <v>57</v>
      </c>
      <c r="H23" s="3">
        <v>8770</v>
      </c>
      <c r="I23" s="3">
        <v>0.05</v>
      </c>
      <c r="J23" s="3">
        <v>162.6</v>
      </c>
      <c r="K23" s="3">
        <v>23.65</v>
      </c>
      <c r="L23" s="3">
        <v>6.66</v>
      </c>
      <c r="M23" s="2">
        <v>407.65550000000002</v>
      </c>
      <c r="N23" s="3">
        <v>59.380099999999999</v>
      </c>
      <c r="O23" s="2">
        <v>8.0359E-2</v>
      </c>
      <c r="P23" s="2">
        <v>0.10463799999999999</v>
      </c>
      <c r="Q23" s="2">
        <v>24.04711</v>
      </c>
      <c r="R23" s="2">
        <v>1.5931097447065654E-2</v>
      </c>
      <c r="S23" s="2">
        <v>0.136435</v>
      </c>
      <c r="T23" s="2">
        <v>0.39560000000000001</v>
      </c>
      <c r="U23" s="2">
        <v>41.521410000000003</v>
      </c>
      <c r="V23" s="2">
        <v>12.5732</v>
      </c>
      <c r="W23" s="6"/>
    </row>
    <row r="24" spans="1:23" ht="15" x14ac:dyDescent="0.2">
      <c r="A24" s="1" t="s">
        <v>41</v>
      </c>
      <c r="B24" s="1" t="s">
        <v>15</v>
      </c>
      <c r="C24" s="3">
        <v>6.33</v>
      </c>
      <c r="D24" s="3">
        <v>104</v>
      </c>
      <c r="E24" s="3">
        <v>23.75</v>
      </c>
      <c r="F24" s="3">
        <v>2.69</v>
      </c>
      <c r="G24" s="3">
        <v>52</v>
      </c>
      <c r="H24" s="3">
        <v>9620</v>
      </c>
      <c r="I24" s="3">
        <v>0.05</v>
      </c>
      <c r="J24" s="3">
        <v>186.2</v>
      </c>
      <c r="K24" s="3">
        <v>38.28</v>
      </c>
      <c r="L24" s="3">
        <v>7.9</v>
      </c>
      <c r="M24" s="2">
        <v>380.29700000000003</v>
      </c>
      <c r="N24" s="3">
        <v>82.924310000000006</v>
      </c>
      <c r="O24" s="2">
        <v>8.1881999999999996E-2</v>
      </c>
      <c r="P24" s="2">
        <v>8.5694000000000006E-2</v>
      </c>
      <c r="Q24" s="2">
        <v>27.725159999999999</v>
      </c>
      <c r="R24" s="2">
        <v>1.5931097447065654E-2</v>
      </c>
      <c r="S24" s="2">
        <v>0.1641</v>
      </c>
      <c r="T24" s="2">
        <v>0.514957</v>
      </c>
      <c r="U24" s="2">
        <v>51.01623</v>
      </c>
      <c r="V24" s="2">
        <v>10.637320000000001</v>
      </c>
      <c r="W24" s="6"/>
    </row>
    <row r="25" spans="1:23" ht="15" x14ac:dyDescent="0.2">
      <c r="A25" s="1" t="s">
        <v>42</v>
      </c>
      <c r="B25" s="1" t="s">
        <v>15</v>
      </c>
      <c r="C25" s="3">
        <v>6.45</v>
      </c>
      <c r="D25" s="3">
        <v>138</v>
      </c>
      <c r="E25" s="3">
        <v>26.43</v>
      </c>
      <c r="F25" s="3">
        <v>1.72</v>
      </c>
      <c r="G25" s="3">
        <v>69</v>
      </c>
      <c r="H25" s="3">
        <v>7250</v>
      </c>
      <c r="I25" s="3">
        <v>0.06</v>
      </c>
      <c r="J25" s="3">
        <v>79.7</v>
      </c>
      <c r="K25" s="3">
        <v>5.13</v>
      </c>
      <c r="L25" s="3">
        <v>7.2249999999999996</v>
      </c>
      <c r="M25" s="2">
        <v>452.09190000000001</v>
      </c>
      <c r="N25" s="3">
        <v>81.529439999999994</v>
      </c>
      <c r="O25" s="2">
        <v>0.19844200000000001</v>
      </c>
      <c r="P25" s="2">
        <v>0.22192500000000001</v>
      </c>
      <c r="Q25" s="2">
        <v>37.109290000000001</v>
      </c>
      <c r="R25" s="2">
        <v>1.5931097447065654E-2</v>
      </c>
      <c r="S25" s="2">
        <v>0.39954800000000001</v>
      </c>
      <c r="T25" s="2">
        <v>0.374917</v>
      </c>
      <c r="U25" s="2">
        <v>50.956270000000004</v>
      </c>
      <c r="V25" s="2">
        <v>119.36969999999999</v>
      </c>
      <c r="W25" s="6"/>
    </row>
    <row r="26" spans="1:23" ht="15" x14ac:dyDescent="0.2">
      <c r="A26" s="1" t="s">
        <v>43</v>
      </c>
      <c r="B26" s="1" t="s">
        <v>15</v>
      </c>
      <c r="C26" s="3">
        <v>6.35</v>
      </c>
      <c r="D26" s="3">
        <v>167</v>
      </c>
      <c r="E26" s="3">
        <v>26.33</v>
      </c>
      <c r="F26" s="3">
        <v>2.52</v>
      </c>
      <c r="G26" s="3">
        <v>84</v>
      </c>
      <c r="H26" s="3">
        <v>5988</v>
      </c>
      <c r="I26" s="3">
        <v>0.08</v>
      </c>
      <c r="J26" s="3">
        <v>185.2</v>
      </c>
      <c r="K26" s="3">
        <v>3.34</v>
      </c>
      <c r="L26" s="3">
        <v>6.2</v>
      </c>
      <c r="M26" s="2">
        <v>422.27370000000002</v>
      </c>
      <c r="N26" s="2">
        <v>63.143590000000003</v>
      </c>
      <c r="O26" s="2">
        <v>7.2286000000000003E-2</v>
      </c>
      <c r="P26" s="2">
        <v>0.12507699999999999</v>
      </c>
      <c r="Q26" s="2">
        <v>59.458219999999997</v>
      </c>
      <c r="R26" s="2">
        <v>1.5931097447065654E-2</v>
      </c>
      <c r="S26" s="2">
        <v>0.60672800000000005</v>
      </c>
      <c r="T26" s="2">
        <v>0.20913699999999999</v>
      </c>
      <c r="U26" s="2">
        <v>51.997169999999997</v>
      </c>
      <c r="V26" s="2">
        <v>162.71019999999999</v>
      </c>
      <c r="W26" s="6"/>
    </row>
    <row r="27" spans="1:23" ht="15" x14ac:dyDescent="0.2">
      <c r="A27" s="1" t="s">
        <v>44</v>
      </c>
      <c r="B27" s="1" t="s">
        <v>15</v>
      </c>
      <c r="C27" s="2">
        <v>6.31</v>
      </c>
      <c r="D27" s="2">
        <v>66</v>
      </c>
      <c r="E27" s="2">
        <v>26.93</v>
      </c>
      <c r="F27" s="2">
        <v>1.51</v>
      </c>
      <c r="G27" s="2">
        <v>33</v>
      </c>
      <c r="H27" s="2">
        <v>15150</v>
      </c>
      <c r="I27" s="2">
        <v>0.03</v>
      </c>
      <c r="J27" s="2">
        <v>92.2</v>
      </c>
      <c r="K27" s="2">
        <v>43.8</v>
      </c>
      <c r="L27" s="2">
        <f>(0.108/10)*1000</f>
        <v>10.8</v>
      </c>
      <c r="M27" s="2">
        <v>947.80250000000001</v>
      </c>
      <c r="N27" s="2">
        <v>336.82709999999997</v>
      </c>
      <c r="O27" s="2">
        <v>0.23266999999999999</v>
      </c>
      <c r="P27" s="2">
        <v>1.292583</v>
      </c>
      <c r="Q27" s="2">
        <v>125.38160000000001</v>
      </c>
      <c r="R27" s="2">
        <v>1.5931097447065654E-2</v>
      </c>
      <c r="S27" s="2">
        <v>0.27241300000000002</v>
      </c>
      <c r="T27" s="2">
        <v>1.2834760000000001</v>
      </c>
      <c r="U27" s="2">
        <v>55.129600000000003</v>
      </c>
      <c r="V27" s="2">
        <v>19.814609999999998</v>
      </c>
      <c r="W27" s="7"/>
    </row>
    <row r="28" spans="1:23" ht="15" x14ac:dyDescent="0.2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ht="15.75" customHeight="1" x14ac:dyDescent="0.2">
      <c r="A29" s="1" t="s">
        <v>14</v>
      </c>
      <c r="B29" s="1" t="s">
        <v>16</v>
      </c>
      <c r="C29" s="2">
        <v>6.73</v>
      </c>
      <c r="D29" s="2">
        <v>114</v>
      </c>
      <c r="E29" s="2">
        <v>29.5</v>
      </c>
      <c r="F29" s="2">
        <v>2.56</v>
      </c>
      <c r="G29" s="2">
        <v>57</v>
      </c>
      <c r="H29" s="2">
        <v>8770</v>
      </c>
      <c r="I29" s="2">
        <v>0.05</v>
      </c>
      <c r="J29" s="2">
        <v>111.2</v>
      </c>
      <c r="K29" s="2">
        <v>15.6</v>
      </c>
      <c r="L29" s="2">
        <f>(0.084/10)*1000</f>
        <v>8.4</v>
      </c>
      <c r="M29" s="2">
        <v>1832.7339999999999</v>
      </c>
      <c r="N29" s="2">
        <v>34.760899999999999</v>
      </c>
      <c r="O29" s="3">
        <v>0.18409521000000001</v>
      </c>
      <c r="P29" s="2">
        <v>0.20651871999999999</v>
      </c>
      <c r="Q29" s="2">
        <v>56.077579999999998</v>
      </c>
      <c r="R29" s="2">
        <v>3.0308999999999999E-2</v>
      </c>
      <c r="S29" s="2">
        <v>1.0279320000000001</v>
      </c>
      <c r="T29" s="3">
        <v>0.79920797600000004</v>
      </c>
      <c r="U29" s="2">
        <v>70.351290000000006</v>
      </c>
      <c r="V29" s="2">
        <v>195.8683</v>
      </c>
      <c r="W29" s="4"/>
    </row>
    <row r="30" spans="1:23" ht="15.75" customHeight="1" x14ac:dyDescent="0.2">
      <c r="A30" s="1" t="s">
        <v>20</v>
      </c>
      <c r="B30" s="1" t="s">
        <v>16</v>
      </c>
      <c r="C30" s="2">
        <v>7.46</v>
      </c>
      <c r="D30" s="2">
        <v>132</v>
      </c>
      <c r="E30" s="2">
        <v>30.31</v>
      </c>
      <c r="F30" s="2">
        <v>1.24</v>
      </c>
      <c r="G30" s="2">
        <v>66</v>
      </c>
      <c r="H30" s="2">
        <v>7580</v>
      </c>
      <c r="I30" s="2">
        <v>0.06</v>
      </c>
      <c r="J30" s="2">
        <v>178.9</v>
      </c>
      <c r="K30" s="2">
        <v>8.8000000000000007</v>
      </c>
      <c r="L30" s="2">
        <f t="shared" si="0"/>
        <v>7.7</v>
      </c>
      <c r="M30" s="2">
        <v>1260.0250000000001</v>
      </c>
      <c r="N30" s="2">
        <v>37.400770000000001</v>
      </c>
      <c r="O30" s="3">
        <v>0.15131821100000001</v>
      </c>
      <c r="P30" s="2">
        <v>0.33229243000000003</v>
      </c>
      <c r="Q30" s="2">
        <v>23.329650000000001</v>
      </c>
      <c r="R30" s="2">
        <v>0.176069</v>
      </c>
      <c r="S30" s="2">
        <v>0.51881600000000005</v>
      </c>
      <c r="T30" s="3">
        <v>0.75434540500000002</v>
      </c>
      <c r="U30" s="2">
        <v>59.509770000000003</v>
      </c>
      <c r="V30" s="2">
        <v>118.5467</v>
      </c>
      <c r="W30" s="4"/>
    </row>
    <row r="31" spans="1:23" ht="15.75" customHeight="1" x14ac:dyDescent="0.2">
      <c r="A31" s="1" t="s">
        <v>21</v>
      </c>
      <c r="B31" s="1" t="s">
        <v>16</v>
      </c>
      <c r="C31" s="2">
        <v>6.69</v>
      </c>
      <c r="D31" s="2">
        <v>216</v>
      </c>
      <c r="E31" s="2">
        <v>29.77</v>
      </c>
      <c r="F31" s="2">
        <v>1.07</v>
      </c>
      <c r="G31" s="2">
        <v>108</v>
      </c>
      <c r="H31" s="2">
        <v>4630</v>
      </c>
      <c r="I31" s="2">
        <v>0.1</v>
      </c>
      <c r="J31" s="2">
        <v>192.5</v>
      </c>
      <c r="K31" s="2">
        <v>72</v>
      </c>
      <c r="L31" s="2">
        <f>(0.078/10)*1000</f>
        <v>7.8</v>
      </c>
      <c r="M31" s="2">
        <v>1384.1690000000001</v>
      </c>
      <c r="N31" s="2">
        <v>37.003070000000001</v>
      </c>
      <c r="O31" s="3">
        <v>0.208038429</v>
      </c>
      <c r="P31" s="2">
        <v>1.1117273599999999</v>
      </c>
      <c r="Q31" s="2">
        <v>28.630680000000002</v>
      </c>
      <c r="R31" s="2">
        <v>9.8613999999999993E-2</v>
      </c>
      <c r="S31" s="2">
        <v>0.77420800000000001</v>
      </c>
      <c r="T31" s="3">
        <v>0.89261242100000004</v>
      </c>
      <c r="U31" s="2">
        <v>84.99512</v>
      </c>
      <c r="V31" s="2">
        <v>215.51050000000001</v>
      </c>
      <c r="W31" s="4"/>
    </row>
    <row r="32" spans="1:23" ht="15.75" customHeight="1" x14ac:dyDescent="0.2">
      <c r="A32" s="1" t="s">
        <v>22</v>
      </c>
      <c r="B32" s="1" t="s">
        <v>16</v>
      </c>
      <c r="C32" s="2">
        <v>6.83</v>
      </c>
      <c r="D32" s="2">
        <v>191</v>
      </c>
      <c r="E32" s="2">
        <v>29.8</v>
      </c>
      <c r="F32" s="2">
        <v>0.61</v>
      </c>
      <c r="G32" s="2">
        <v>95</v>
      </c>
      <c r="H32" s="2">
        <v>5236</v>
      </c>
      <c r="I32" s="2">
        <v>0.09</v>
      </c>
      <c r="J32" s="2">
        <v>154.6</v>
      </c>
      <c r="K32" s="2">
        <v>28.4</v>
      </c>
      <c r="L32" s="2">
        <f>(0.063/10)*1000</f>
        <v>6.3</v>
      </c>
      <c r="M32" s="2">
        <v>1084.068</v>
      </c>
      <c r="N32" s="2">
        <v>86.247569999999996</v>
      </c>
      <c r="O32" s="3">
        <v>0.111880428</v>
      </c>
      <c r="P32" s="2">
        <v>0.20160834999999999</v>
      </c>
      <c r="Q32" s="2">
        <v>5.0485889999999998</v>
      </c>
      <c r="R32" s="2">
        <v>0.199541</v>
      </c>
      <c r="S32" s="2">
        <v>0.520625</v>
      </c>
      <c r="T32" s="3">
        <v>0.84024586199999995</v>
      </c>
      <c r="U32" s="2">
        <v>67.493399999999994</v>
      </c>
      <c r="V32" s="2">
        <v>108.0639</v>
      </c>
      <c r="W32" s="4"/>
    </row>
    <row r="33" spans="1:23" ht="15.75" customHeight="1" x14ac:dyDescent="0.2">
      <c r="A33" s="1" t="s">
        <v>23</v>
      </c>
      <c r="B33" s="1" t="s">
        <v>16</v>
      </c>
      <c r="C33" s="2">
        <v>6.51</v>
      </c>
      <c r="D33" s="2">
        <v>109</v>
      </c>
      <c r="E33" s="2">
        <v>28.62</v>
      </c>
      <c r="F33" s="2">
        <v>2.81</v>
      </c>
      <c r="G33" s="2">
        <v>55</v>
      </c>
      <c r="H33" s="2">
        <v>9170</v>
      </c>
      <c r="I33" s="2">
        <v>0.05</v>
      </c>
      <c r="J33" s="2">
        <v>133.69999999999999</v>
      </c>
      <c r="K33" s="2">
        <v>85.6</v>
      </c>
      <c r="L33" s="2">
        <f>(0.079/10)*1000</f>
        <v>7.9</v>
      </c>
      <c r="M33" s="2">
        <v>1218.5909999999999</v>
      </c>
      <c r="N33" s="2">
        <v>229.1951</v>
      </c>
      <c r="O33" s="3">
        <v>0.14969138700000001</v>
      </c>
      <c r="P33" s="2">
        <v>2.8930007500000001</v>
      </c>
      <c r="Q33" s="2">
        <v>29.001349999999999</v>
      </c>
      <c r="R33" s="2">
        <v>5.4018999999999998E-2</v>
      </c>
      <c r="S33" s="2">
        <v>0.41329300000000002</v>
      </c>
      <c r="T33" s="3">
        <v>1.269197854</v>
      </c>
      <c r="U33" s="2">
        <v>60.670099999999998</v>
      </c>
      <c r="V33" s="2">
        <v>36.953389999999999</v>
      </c>
      <c r="W33" s="4"/>
    </row>
    <row r="34" spans="1:23" ht="15.75" customHeight="1" x14ac:dyDescent="0.2">
      <c r="A34" s="1" t="s">
        <v>24</v>
      </c>
      <c r="B34" s="1" t="s">
        <v>16</v>
      </c>
      <c r="C34" s="2">
        <v>6.21</v>
      </c>
      <c r="D34" s="2">
        <v>80</v>
      </c>
      <c r="E34" s="2">
        <v>27.11</v>
      </c>
      <c r="F34" s="2">
        <v>1.66</v>
      </c>
      <c r="G34" s="2">
        <v>40</v>
      </c>
      <c r="H34" s="2">
        <v>12500</v>
      </c>
      <c r="I34" s="2">
        <v>0.04</v>
      </c>
      <c r="J34" s="2">
        <v>146</v>
      </c>
      <c r="K34" s="2">
        <v>69</v>
      </c>
      <c r="L34" s="2">
        <f t="shared" ref="L34:L61" si="2">(0.093/10)*1000</f>
        <v>9.2999999999999989</v>
      </c>
      <c r="M34" s="2">
        <v>1169.6369999999999</v>
      </c>
      <c r="N34" s="2">
        <v>258.80090000000001</v>
      </c>
      <c r="O34" s="3">
        <v>0.13098690599999999</v>
      </c>
      <c r="P34" s="2">
        <v>0.3731681</v>
      </c>
      <c r="Q34" s="2">
        <v>6.3515889999999997</v>
      </c>
      <c r="R34" s="2">
        <v>4.7337999999999998E-2</v>
      </c>
      <c r="S34" s="2">
        <v>0.335067</v>
      </c>
      <c r="T34" s="3">
        <v>1.056602708</v>
      </c>
      <c r="U34" s="2">
        <v>55.279179999999997</v>
      </c>
      <c r="V34" s="2">
        <v>22.743559999999999</v>
      </c>
      <c r="W34" s="4"/>
    </row>
    <row r="35" spans="1:23" ht="15" x14ac:dyDescent="0.2">
      <c r="A35" s="1" t="s">
        <v>25</v>
      </c>
      <c r="B35" s="1" t="s">
        <v>16</v>
      </c>
      <c r="C35" s="2">
        <v>6.26</v>
      </c>
      <c r="D35" s="2">
        <v>87</v>
      </c>
      <c r="E35" s="2">
        <v>28.11</v>
      </c>
      <c r="F35" s="2">
        <v>1.34</v>
      </c>
      <c r="G35" s="2">
        <v>44</v>
      </c>
      <c r="H35" s="2">
        <v>11490</v>
      </c>
      <c r="I35" s="2">
        <v>0.04</v>
      </c>
      <c r="J35" s="2">
        <v>136.9</v>
      </c>
      <c r="K35" s="2">
        <v>18.600000000000001</v>
      </c>
      <c r="L35" s="2">
        <f t="shared" ref="L35:L62" si="3">(0.083/10)*1000</f>
        <v>8.3000000000000007</v>
      </c>
      <c r="M35" s="2">
        <v>1221.4359999999999</v>
      </c>
      <c r="N35" s="2">
        <v>105.89709999999999</v>
      </c>
      <c r="O35" s="3">
        <v>0.144175672</v>
      </c>
      <c r="P35" s="2">
        <v>0.16444717</v>
      </c>
      <c r="Q35" s="2">
        <v>12.89199</v>
      </c>
      <c r="R35" s="2">
        <v>4.6854E-2</v>
      </c>
      <c r="S35" s="2">
        <v>0.636208</v>
      </c>
      <c r="T35" s="3">
        <v>0.759628207</v>
      </c>
      <c r="U35" s="2">
        <v>60.493450000000003</v>
      </c>
      <c r="V35" s="2">
        <v>76.461309999999997</v>
      </c>
      <c r="W35" s="6"/>
    </row>
    <row r="36" spans="1:23" ht="15" x14ac:dyDescent="0.2">
      <c r="A36" s="1" t="s">
        <v>26</v>
      </c>
      <c r="B36" s="1" t="s">
        <v>16</v>
      </c>
      <c r="C36" s="2">
        <v>6.22</v>
      </c>
      <c r="D36" s="2">
        <v>90</v>
      </c>
      <c r="E36" s="2">
        <v>28.35</v>
      </c>
      <c r="F36" s="2">
        <v>1.18</v>
      </c>
      <c r="G36" s="2">
        <v>45</v>
      </c>
      <c r="H36" s="2">
        <v>11110</v>
      </c>
      <c r="I36" s="2">
        <v>0.04</v>
      </c>
      <c r="J36" s="2">
        <v>190.8</v>
      </c>
      <c r="K36" s="2">
        <v>1.2</v>
      </c>
      <c r="L36" s="2">
        <f>(0.071/10)*1000</f>
        <v>7.1</v>
      </c>
      <c r="M36" s="2">
        <v>1504.912</v>
      </c>
      <c r="N36" s="2">
        <v>56.555619999999998</v>
      </c>
      <c r="O36" s="3">
        <v>0.131850305</v>
      </c>
      <c r="P36" s="2">
        <v>0.32861993</v>
      </c>
      <c r="Q36" s="2">
        <v>15.72588</v>
      </c>
      <c r="R36" s="2">
        <v>5.45E-2</v>
      </c>
      <c r="S36" s="2">
        <v>1.3258209999999999</v>
      </c>
      <c r="T36" s="3">
        <v>0.59411147200000003</v>
      </c>
      <c r="U36" s="2">
        <v>65.623639999999995</v>
      </c>
      <c r="V36" s="2">
        <v>289.12830000000002</v>
      </c>
      <c r="W36" s="7"/>
    </row>
    <row r="37" spans="1:23" ht="15" x14ac:dyDescent="0.2">
      <c r="A37" s="1" t="s">
        <v>27</v>
      </c>
      <c r="B37" s="1" t="s">
        <v>16</v>
      </c>
      <c r="C37" s="2">
        <v>6.48</v>
      </c>
      <c r="D37" s="2">
        <v>111</v>
      </c>
      <c r="E37" s="2">
        <v>29.66</v>
      </c>
      <c r="F37" s="2">
        <v>1.75</v>
      </c>
      <c r="G37" s="2">
        <v>56</v>
      </c>
      <c r="H37" s="2">
        <v>9010</v>
      </c>
      <c r="I37" s="2">
        <v>0.05</v>
      </c>
      <c r="J37" s="2">
        <v>118.1</v>
      </c>
      <c r="K37" s="2">
        <v>11.6</v>
      </c>
      <c r="L37" s="2">
        <f t="shared" si="1"/>
        <v>6.9</v>
      </c>
      <c r="M37" s="2">
        <v>1145.319</v>
      </c>
      <c r="N37" s="2">
        <v>107.35760000000001</v>
      </c>
      <c r="O37" s="3">
        <v>0.103862865</v>
      </c>
      <c r="P37" s="2">
        <v>0.54614441999999996</v>
      </c>
      <c r="Q37" s="2">
        <v>8.5259309999999999</v>
      </c>
      <c r="R37" s="2">
        <v>5.9153999999999998E-2</v>
      </c>
      <c r="S37" s="2">
        <v>0.38087799999999999</v>
      </c>
      <c r="T37" s="3">
        <v>0.60200349900000005</v>
      </c>
      <c r="U37" s="2">
        <v>51.140920000000001</v>
      </c>
      <c r="V37" s="2">
        <v>78.378950000000003</v>
      </c>
      <c r="W37" s="6"/>
    </row>
    <row r="38" spans="1:23" ht="15" x14ac:dyDescent="0.2">
      <c r="A38" s="1" t="s">
        <v>28</v>
      </c>
      <c r="B38" s="1" t="s">
        <v>16</v>
      </c>
      <c r="C38" s="2">
        <v>6.58</v>
      </c>
      <c r="D38" s="2">
        <v>155</v>
      </c>
      <c r="E38" s="2">
        <v>28.84</v>
      </c>
      <c r="F38" s="2">
        <v>2.17</v>
      </c>
      <c r="G38" s="2">
        <v>77</v>
      </c>
      <c r="H38" s="2">
        <v>6452</v>
      </c>
      <c r="I38" s="2">
        <v>7.0000000000000007E-2</v>
      </c>
      <c r="J38" s="2">
        <v>130.9</v>
      </c>
      <c r="K38" s="2">
        <v>32.4</v>
      </c>
      <c r="L38" s="2">
        <v>6.7</v>
      </c>
      <c r="M38" s="2">
        <v>1019.136</v>
      </c>
      <c r="N38" s="2">
        <v>63.950330000000001</v>
      </c>
      <c r="O38" s="3">
        <v>0.140335715</v>
      </c>
      <c r="P38" s="2">
        <v>0.15671803000000001</v>
      </c>
      <c r="Q38" s="2">
        <v>14.163679999999999</v>
      </c>
      <c r="R38" s="2">
        <v>5.3426000000000001E-2</v>
      </c>
      <c r="S38" s="2">
        <v>0.30463200000000001</v>
      </c>
      <c r="T38" s="3">
        <v>0.75492256899999999</v>
      </c>
      <c r="U38" s="2">
        <v>52.299860000000002</v>
      </c>
      <c r="V38" s="2">
        <v>49.81729</v>
      </c>
      <c r="W38" s="6"/>
    </row>
    <row r="39" spans="1:23" ht="15" x14ac:dyDescent="0.2">
      <c r="A39" s="1" t="s">
        <v>29</v>
      </c>
      <c r="B39" s="1" t="s">
        <v>16</v>
      </c>
      <c r="C39" s="2">
        <v>6.66</v>
      </c>
      <c r="D39" s="2">
        <v>270</v>
      </c>
      <c r="E39" s="2">
        <v>29.36</v>
      </c>
      <c r="F39" s="2">
        <v>2.67</v>
      </c>
      <c r="G39" s="2">
        <v>135</v>
      </c>
      <c r="H39" s="2">
        <v>3704</v>
      </c>
      <c r="I39" s="2">
        <v>0.13</v>
      </c>
      <c r="J39" s="2">
        <v>132.80000000000001</v>
      </c>
      <c r="K39" s="2">
        <v>23.4</v>
      </c>
      <c r="L39" s="2">
        <v>7.2</v>
      </c>
      <c r="M39" s="2">
        <v>1001.381</v>
      </c>
      <c r="N39" s="2">
        <v>81.659580000000005</v>
      </c>
      <c r="O39" s="3">
        <v>0.18168024999999999</v>
      </c>
      <c r="P39" s="2">
        <v>0.27127781000000001</v>
      </c>
      <c r="Q39" s="2">
        <v>39.57938</v>
      </c>
      <c r="R39" s="2">
        <v>0.191555</v>
      </c>
      <c r="S39" s="2">
        <v>0.369116</v>
      </c>
      <c r="T39" s="3">
        <v>0.80571269099999998</v>
      </c>
      <c r="U39" s="2">
        <v>58.629800000000003</v>
      </c>
      <c r="V39" s="2">
        <v>66.231210000000004</v>
      </c>
      <c r="W39" s="8"/>
    </row>
    <row r="40" spans="1:23" ht="15" x14ac:dyDescent="0.2">
      <c r="A40" s="1" t="s">
        <v>30</v>
      </c>
      <c r="B40" s="1" t="s">
        <v>16</v>
      </c>
      <c r="C40" s="2">
        <v>6.49</v>
      </c>
      <c r="D40" s="2">
        <v>193</v>
      </c>
      <c r="E40" s="2">
        <v>27.48</v>
      </c>
      <c r="F40" s="2">
        <v>1.02</v>
      </c>
      <c r="G40" s="2">
        <v>97</v>
      </c>
      <c r="H40" s="2">
        <v>5181</v>
      </c>
      <c r="I40" s="2">
        <v>0.09</v>
      </c>
      <c r="J40" s="2">
        <v>97.5</v>
      </c>
      <c r="K40" s="2">
        <v>40.6</v>
      </c>
      <c r="L40" s="2">
        <v>6.7</v>
      </c>
      <c r="M40" s="2">
        <v>689.57920000000001</v>
      </c>
      <c r="N40" s="3">
        <v>37.479469999999999</v>
      </c>
      <c r="O40" s="3">
        <v>0.11720709</v>
      </c>
      <c r="P40" s="2">
        <v>0.11673995</v>
      </c>
      <c r="Q40" s="2">
        <v>6.1878609999999998</v>
      </c>
      <c r="R40" s="2">
        <v>2.8187E-2</v>
      </c>
      <c r="S40" s="2">
        <v>0.32209599999999999</v>
      </c>
      <c r="T40" s="3">
        <v>0.54802941400000005</v>
      </c>
      <c r="U40" s="2">
        <v>59.483750000000001</v>
      </c>
      <c r="V40" s="2">
        <v>63.734090000000002</v>
      </c>
      <c r="W40" s="6"/>
    </row>
    <row r="41" spans="1:23" ht="15" x14ac:dyDescent="0.2">
      <c r="A41" s="1" t="s">
        <v>31</v>
      </c>
      <c r="B41" s="1" t="s">
        <v>16</v>
      </c>
      <c r="C41" s="2">
        <v>6.65</v>
      </c>
      <c r="D41" s="2">
        <v>129</v>
      </c>
      <c r="E41" s="2">
        <v>26.83</v>
      </c>
      <c r="F41" s="2">
        <v>2.25</v>
      </c>
      <c r="G41" s="2">
        <v>64</v>
      </c>
      <c r="H41" s="2">
        <v>7750</v>
      </c>
      <c r="I41" s="2">
        <v>0.06</v>
      </c>
      <c r="J41" s="2">
        <v>126.2</v>
      </c>
      <c r="K41" s="2">
        <v>16</v>
      </c>
      <c r="L41" s="2">
        <v>6.7</v>
      </c>
      <c r="M41" s="2">
        <v>581.26509999999996</v>
      </c>
      <c r="N41" s="3">
        <v>66.239260000000002</v>
      </c>
      <c r="O41" s="2">
        <v>0.11068699999999999</v>
      </c>
      <c r="P41" s="2">
        <v>3.142802871879679E-2</v>
      </c>
      <c r="Q41" s="2">
        <v>6.1611549999999999</v>
      </c>
      <c r="R41" s="2">
        <v>0.33651500000000001</v>
      </c>
      <c r="S41" s="2">
        <v>0.17054</v>
      </c>
      <c r="T41" s="2">
        <v>0.45175999999999999</v>
      </c>
      <c r="U41" s="2">
        <v>45.832599999999999</v>
      </c>
      <c r="V41" s="2">
        <v>23.05913</v>
      </c>
      <c r="W41" s="6"/>
    </row>
    <row r="42" spans="1:23" ht="15" x14ac:dyDescent="0.2">
      <c r="A42" s="1" t="s">
        <v>32</v>
      </c>
      <c r="B42" s="1" t="s">
        <v>16</v>
      </c>
      <c r="C42" s="2">
        <v>6.11</v>
      </c>
      <c r="D42" s="2">
        <v>98</v>
      </c>
      <c r="E42" s="2">
        <v>25.78</v>
      </c>
      <c r="F42" s="2">
        <v>1.99</v>
      </c>
      <c r="G42" s="2">
        <v>49</v>
      </c>
      <c r="H42" s="2">
        <v>10200</v>
      </c>
      <c r="I42" s="2">
        <v>0.04</v>
      </c>
      <c r="J42" s="2">
        <v>167.1</v>
      </c>
      <c r="K42" s="2">
        <v>39.799999999999997</v>
      </c>
      <c r="L42" s="2">
        <v>4.7</v>
      </c>
      <c r="M42" s="2">
        <v>1037.9459999999999</v>
      </c>
      <c r="N42" s="3">
        <v>65.230959999999996</v>
      </c>
      <c r="O42" s="2">
        <v>0.13908599999999999</v>
      </c>
      <c r="P42" s="2">
        <v>0.27652399999999999</v>
      </c>
      <c r="Q42" s="2">
        <v>26.165659999999999</v>
      </c>
      <c r="R42" s="2">
        <v>0.123363</v>
      </c>
      <c r="S42" s="2">
        <v>0.23904</v>
      </c>
      <c r="T42" s="2">
        <v>0.67077699999999996</v>
      </c>
      <c r="U42" s="2">
        <v>51.81212</v>
      </c>
      <c r="V42" s="2">
        <v>23.711690000000001</v>
      </c>
      <c r="W42" s="6"/>
    </row>
    <row r="43" spans="1:23" ht="15" x14ac:dyDescent="0.2">
      <c r="A43" s="1" t="s">
        <v>33</v>
      </c>
      <c r="B43" s="1" t="s">
        <v>16</v>
      </c>
      <c r="C43" s="2">
        <v>6.74</v>
      </c>
      <c r="D43" s="2">
        <v>96</v>
      </c>
      <c r="E43" s="2">
        <v>26.15</v>
      </c>
      <c r="F43" s="2">
        <v>2.37</v>
      </c>
      <c r="G43" s="2">
        <v>48</v>
      </c>
      <c r="H43" s="2">
        <v>10420</v>
      </c>
      <c r="I43" s="2">
        <v>0.04</v>
      </c>
      <c r="J43" s="2">
        <v>145.80000000000001</v>
      </c>
      <c r="K43" s="2">
        <v>60.4</v>
      </c>
      <c r="L43" s="2">
        <v>7.2</v>
      </c>
      <c r="M43" s="2">
        <v>1200</v>
      </c>
      <c r="N43" s="3">
        <v>141</v>
      </c>
      <c r="O43" s="2">
        <v>0.12504390300000001</v>
      </c>
      <c r="P43" s="2">
        <v>0.70184281000000004</v>
      </c>
      <c r="Q43" s="2">
        <v>24.87604</v>
      </c>
      <c r="R43" s="2">
        <v>1.5931097447065654E-2</v>
      </c>
      <c r="S43" s="2">
        <v>0.310836</v>
      </c>
      <c r="T43" s="2">
        <v>1.0033460000000001</v>
      </c>
      <c r="U43" s="2">
        <v>58.16536</v>
      </c>
      <c r="V43" s="2">
        <v>23.457920000000001</v>
      </c>
      <c r="W43" s="6"/>
    </row>
    <row r="44" spans="1:23" ht="15" x14ac:dyDescent="0.2">
      <c r="A44" s="1" t="s">
        <v>34</v>
      </c>
      <c r="B44" s="1" t="s">
        <v>16</v>
      </c>
      <c r="C44" s="2">
        <v>6.24</v>
      </c>
      <c r="D44" s="2">
        <v>87</v>
      </c>
      <c r="E44" s="2">
        <v>24.89</v>
      </c>
      <c r="F44" s="2">
        <v>2.1800000000000002</v>
      </c>
      <c r="G44" s="2">
        <v>43</v>
      </c>
      <c r="H44" s="2">
        <v>11490</v>
      </c>
      <c r="I44" s="2">
        <v>0.04</v>
      </c>
      <c r="J44" s="2">
        <v>113.4</v>
      </c>
      <c r="K44" s="2">
        <v>73.599999999999994</v>
      </c>
      <c r="L44" s="2">
        <v>7.5</v>
      </c>
      <c r="M44" s="2">
        <v>569.39549999999997</v>
      </c>
      <c r="N44" s="3">
        <v>40.55021</v>
      </c>
      <c r="O44" s="2">
        <v>0.117865</v>
      </c>
      <c r="P44" s="2">
        <v>3.142802871879679E-2</v>
      </c>
      <c r="Q44" s="2">
        <v>9.1650419999999997</v>
      </c>
      <c r="R44" s="2">
        <v>7.2127999999999998E-2</v>
      </c>
      <c r="S44" s="2">
        <v>0.117589</v>
      </c>
      <c r="T44" s="2">
        <v>0.43995699999999999</v>
      </c>
      <c r="U44" s="2">
        <v>47.11891</v>
      </c>
      <c r="V44" s="2">
        <v>6.0086659999999998</v>
      </c>
      <c r="W44" s="6"/>
    </row>
    <row r="45" spans="1:23" ht="15" x14ac:dyDescent="0.2">
      <c r="A45" s="1" t="s">
        <v>35</v>
      </c>
      <c r="B45" s="1" t="s">
        <v>16</v>
      </c>
      <c r="C45" s="2">
        <v>6.43</v>
      </c>
      <c r="D45" s="2">
        <v>85</v>
      </c>
      <c r="E45" s="2">
        <v>25.18</v>
      </c>
      <c r="F45" s="2">
        <v>1.93</v>
      </c>
      <c r="G45" s="2">
        <v>42</v>
      </c>
      <c r="H45" s="2">
        <v>11760</v>
      </c>
      <c r="I45" s="2">
        <v>0.04</v>
      </c>
      <c r="J45" s="2">
        <v>143.5</v>
      </c>
      <c r="K45" s="2">
        <v>13.2</v>
      </c>
      <c r="L45" s="2">
        <v>6.2</v>
      </c>
      <c r="M45" s="2">
        <v>516.15440000000001</v>
      </c>
      <c r="N45" s="3">
        <v>203.5831</v>
      </c>
      <c r="O45" s="2">
        <v>0.120646</v>
      </c>
      <c r="P45" s="2">
        <v>5.1588240000000001</v>
      </c>
      <c r="Q45" s="2">
        <v>60.037950000000002</v>
      </c>
      <c r="R45" s="2">
        <v>3.7006999999999998E-2</v>
      </c>
      <c r="S45" s="2">
        <v>0.172704</v>
      </c>
      <c r="T45" s="2">
        <v>0.359599</v>
      </c>
      <c r="U45" s="2">
        <v>49.192430000000002</v>
      </c>
      <c r="V45" s="2">
        <v>14.832940000000001</v>
      </c>
      <c r="W45" s="6"/>
    </row>
    <row r="46" spans="1:23" ht="15" x14ac:dyDescent="0.2">
      <c r="A46" s="1" t="s">
        <v>36</v>
      </c>
      <c r="B46" s="1" t="s">
        <v>16</v>
      </c>
      <c r="C46" s="2">
        <v>6.44</v>
      </c>
      <c r="D46" s="2">
        <v>83</v>
      </c>
      <c r="E46" s="2">
        <v>24.4</v>
      </c>
      <c r="F46" s="2">
        <v>1.62</v>
      </c>
      <c r="G46" s="2">
        <v>41</v>
      </c>
      <c r="H46" s="2">
        <v>12050</v>
      </c>
      <c r="I46" s="2">
        <v>0.04</v>
      </c>
      <c r="J46" s="2">
        <v>170.9</v>
      </c>
      <c r="K46" s="2">
        <v>0.8</v>
      </c>
      <c r="L46" s="2">
        <v>6.2</v>
      </c>
      <c r="M46" s="2">
        <v>600.05449999999996</v>
      </c>
      <c r="N46" s="3">
        <v>15.06024</v>
      </c>
      <c r="O46" s="2">
        <v>9.5626000000000003E-2</v>
      </c>
      <c r="P46" s="2">
        <v>0.244198</v>
      </c>
      <c r="Q46" s="2">
        <v>23.917560000000002</v>
      </c>
      <c r="R46" s="2">
        <v>1.5931097447065654E-2</v>
      </c>
      <c r="S46" s="2">
        <v>0.20402999999999999</v>
      </c>
      <c r="T46" s="2">
        <v>0.35797400000000001</v>
      </c>
      <c r="U46" s="2">
        <v>44.423020000000001</v>
      </c>
      <c r="V46" s="2">
        <v>41.297339999999998</v>
      </c>
      <c r="W46" s="6"/>
    </row>
    <row r="47" spans="1:23" ht="15" x14ac:dyDescent="0.2">
      <c r="A47" s="1" t="s">
        <v>37</v>
      </c>
      <c r="B47" s="1" t="s">
        <v>16</v>
      </c>
      <c r="C47" s="2">
        <v>6.73</v>
      </c>
      <c r="D47" s="2">
        <v>105</v>
      </c>
      <c r="E47" s="2">
        <v>25.07</v>
      </c>
      <c r="F47" s="2">
        <v>1.27</v>
      </c>
      <c r="G47" s="2">
        <v>52</v>
      </c>
      <c r="H47" s="2">
        <v>9520</v>
      </c>
      <c r="I47" s="2">
        <v>0.05</v>
      </c>
      <c r="J47" s="2">
        <v>158.30000000000001</v>
      </c>
      <c r="K47" s="2">
        <v>16.2</v>
      </c>
      <c r="L47" s="2">
        <v>1.4</v>
      </c>
      <c r="M47" s="2">
        <v>507.86520000000002</v>
      </c>
      <c r="N47" s="3">
        <v>63.856740000000002</v>
      </c>
      <c r="O47" s="2">
        <v>0.11971999999999999</v>
      </c>
      <c r="P47" s="2">
        <v>0.103148</v>
      </c>
      <c r="Q47" s="2">
        <v>25.57499</v>
      </c>
      <c r="R47" s="2">
        <v>1.5931097447065654E-2</v>
      </c>
      <c r="S47" s="2">
        <v>0.146479</v>
      </c>
      <c r="T47" s="2">
        <v>0.39973700000000001</v>
      </c>
      <c r="U47" s="2">
        <v>40.07676</v>
      </c>
      <c r="V47" s="2">
        <v>19.978590000000001</v>
      </c>
      <c r="W47" s="6"/>
    </row>
    <row r="48" spans="1:23" ht="15" x14ac:dyDescent="0.2">
      <c r="A48" s="1" t="s">
        <v>38</v>
      </c>
      <c r="B48" s="1" t="s">
        <v>16</v>
      </c>
      <c r="C48" s="2">
        <v>6.81</v>
      </c>
      <c r="D48" s="2">
        <v>122</v>
      </c>
      <c r="E48" s="2">
        <v>24.43</v>
      </c>
      <c r="F48" s="2">
        <v>1.95</v>
      </c>
      <c r="G48" s="2">
        <v>61</v>
      </c>
      <c r="H48" s="2">
        <v>8200</v>
      </c>
      <c r="I48" s="2">
        <v>0.06</v>
      </c>
      <c r="J48" s="2">
        <v>131.5</v>
      </c>
      <c r="K48" s="2">
        <v>14.4</v>
      </c>
      <c r="L48" s="2">
        <v>5.0999999999999996</v>
      </c>
      <c r="M48" s="2">
        <v>372.81200000000001</v>
      </c>
      <c r="N48" s="3">
        <v>41.170819999999999</v>
      </c>
      <c r="O48" s="2">
        <v>7.4677999999999994E-2</v>
      </c>
      <c r="P48" s="2">
        <v>3.142802871879679E-2</v>
      </c>
      <c r="Q48" s="2">
        <v>10.17413</v>
      </c>
      <c r="R48" s="2">
        <v>1.5931097447065654E-2</v>
      </c>
      <c r="S48" s="2">
        <v>0.119911</v>
      </c>
      <c r="T48" s="2">
        <v>0.27347900000000003</v>
      </c>
      <c r="U48" s="2">
        <v>39.818959999999997</v>
      </c>
      <c r="V48" s="2">
        <v>18.046990000000001</v>
      </c>
      <c r="W48" s="6"/>
    </row>
    <row r="49" spans="1:23" ht="15" x14ac:dyDescent="0.2">
      <c r="A49" s="1" t="s">
        <v>39</v>
      </c>
      <c r="B49" s="1" t="s">
        <v>16</v>
      </c>
      <c r="C49" s="3">
        <v>6.8</v>
      </c>
      <c r="D49" s="3">
        <v>275</v>
      </c>
      <c r="E49" s="3">
        <v>25.78</v>
      </c>
      <c r="F49" s="3">
        <v>2</v>
      </c>
      <c r="G49" s="3">
        <v>138</v>
      </c>
      <c r="H49" s="3">
        <v>3636</v>
      </c>
      <c r="I49" s="3">
        <v>0.13</v>
      </c>
      <c r="J49" s="3">
        <v>103.1</v>
      </c>
      <c r="K49" s="3">
        <v>7.71</v>
      </c>
      <c r="L49" s="3">
        <v>5.0999999999999996</v>
      </c>
      <c r="M49" s="2">
        <v>62.698650000000001</v>
      </c>
      <c r="N49" s="3">
        <v>34.598840000000003</v>
      </c>
      <c r="O49" s="2">
        <v>0.119423</v>
      </c>
      <c r="P49" s="2">
        <v>1.8794679999999999</v>
      </c>
      <c r="Q49" s="2">
        <v>11.81832</v>
      </c>
      <c r="R49" s="2">
        <v>3.7733000000000003E-2</v>
      </c>
      <c r="S49" s="2">
        <v>8.5569000000000006E-2</v>
      </c>
      <c r="T49" s="2">
        <v>0.27656999999999998</v>
      </c>
      <c r="U49" s="2">
        <v>47.266840000000002</v>
      </c>
      <c r="V49" s="2">
        <v>9.5508980000000001</v>
      </c>
      <c r="W49" s="6"/>
    </row>
    <row r="50" spans="1:23" ht="15" x14ac:dyDescent="0.2">
      <c r="A50" s="1" t="s">
        <v>40</v>
      </c>
      <c r="B50" s="1" t="s">
        <v>16</v>
      </c>
      <c r="C50" s="3">
        <v>6.82</v>
      </c>
      <c r="D50" s="3">
        <v>121</v>
      </c>
      <c r="E50" s="3">
        <v>25.99</v>
      </c>
      <c r="F50" s="3">
        <v>2.27</v>
      </c>
      <c r="G50" s="3">
        <v>60</v>
      </c>
      <c r="H50" s="3">
        <v>8260</v>
      </c>
      <c r="I50" s="3">
        <v>0.06</v>
      </c>
      <c r="J50" s="3">
        <v>129.80000000000001</v>
      </c>
      <c r="K50" s="3">
        <v>23.65</v>
      </c>
      <c r="L50" s="3">
        <v>6.55</v>
      </c>
      <c r="M50" s="2">
        <v>373.42500000000001</v>
      </c>
      <c r="N50" s="3">
        <v>48.252780000000001</v>
      </c>
      <c r="O50" s="2">
        <v>0.12699099999999999</v>
      </c>
      <c r="P50" s="2">
        <v>3.142802871879679E-2</v>
      </c>
      <c r="Q50" s="2">
        <v>17.4727</v>
      </c>
      <c r="R50" s="2">
        <v>4.1597000000000002E-2</v>
      </c>
      <c r="S50" s="2">
        <v>0.13066700000000001</v>
      </c>
      <c r="T50" s="2">
        <v>0.36790800000000001</v>
      </c>
      <c r="U50" s="2">
        <v>39.346690000000002</v>
      </c>
      <c r="V50" s="2">
        <v>12.25686</v>
      </c>
      <c r="W50" s="6"/>
    </row>
    <row r="51" spans="1:23" ht="15" x14ac:dyDescent="0.2">
      <c r="A51" s="1" t="s">
        <v>41</v>
      </c>
      <c r="B51" s="1" t="s">
        <v>16</v>
      </c>
      <c r="C51" s="3">
        <v>6.5</v>
      </c>
      <c r="D51" s="3">
        <v>112</v>
      </c>
      <c r="E51" s="3">
        <v>23.61</v>
      </c>
      <c r="F51" s="3">
        <v>2.3199999999999998</v>
      </c>
      <c r="G51" s="3">
        <v>56</v>
      </c>
      <c r="H51" s="3">
        <v>8930</v>
      </c>
      <c r="I51" s="3">
        <v>0.05</v>
      </c>
      <c r="J51" s="3">
        <v>182.5</v>
      </c>
      <c r="K51" s="3">
        <v>38.28</v>
      </c>
      <c r="L51" s="3">
        <v>7.76</v>
      </c>
      <c r="M51" s="2">
        <v>536.8664</v>
      </c>
      <c r="N51" s="3">
        <v>64.19502</v>
      </c>
      <c r="O51" s="2">
        <v>9.9560999999999997E-2</v>
      </c>
      <c r="P51" s="2">
        <v>0.18907499999999999</v>
      </c>
      <c r="Q51" s="2">
        <v>25.835560000000001</v>
      </c>
      <c r="R51" s="2">
        <v>1.5931097447065654E-2</v>
      </c>
      <c r="S51" s="2">
        <v>0.162963</v>
      </c>
      <c r="T51" s="2">
        <v>0.51709400000000005</v>
      </c>
      <c r="U51" s="2">
        <v>48.403410000000001</v>
      </c>
      <c r="V51" s="2">
        <v>11.63294</v>
      </c>
      <c r="W51" s="6"/>
    </row>
    <row r="52" spans="1:23" ht="15" x14ac:dyDescent="0.2">
      <c r="A52" s="1" t="s">
        <v>42</v>
      </c>
      <c r="B52" s="1" t="s">
        <v>16</v>
      </c>
      <c r="C52" s="3">
        <v>6.72</v>
      </c>
      <c r="D52" s="3">
        <v>151</v>
      </c>
      <c r="E52" s="3">
        <v>26.41</v>
      </c>
      <c r="F52" s="3">
        <v>1.44</v>
      </c>
      <c r="G52" s="3">
        <v>76</v>
      </c>
      <c r="H52" s="3">
        <v>6623</v>
      </c>
      <c r="I52" s="3">
        <v>7.0000000000000007E-2</v>
      </c>
      <c r="J52" s="3">
        <v>74.599999999999994</v>
      </c>
      <c r="K52" s="3">
        <v>5.13</v>
      </c>
      <c r="L52" s="3">
        <v>7.4</v>
      </c>
      <c r="M52" s="2">
        <v>436.00650000000002</v>
      </c>
      <c r="N52" s="3">
        <v>65.890029999999996</v>
      </c>
      <c r="O52" s="2">
        <v>0.148809</v>
      </c>
      <c r="P52" s="2">
        <v>0.48194100000000001</v>
      </c>
      <c r="Q52" s="2">
        <v>109.87269999999999</v>
      </c>
      <c r="R52" s="2">
        <v>1.5931097447065654E-2</v>
      </c>
      <c r="S52" s="2">
        <v>0.289659</v>
      </c>
      <c r="T52" s="2">
        <v>0.307315</v>
      </c>
      <c r="U52" s="2">
        <v>51.682400000000001</v>
      </c>
      <c r="V52" s="2">
        <v>73.446550000000002</v>
      </c>
      <c r="W52" s="6"/>
    </row>
    <row r="53" spans="1:23" ht="15" x14ac:dyDescent="0.2">
      <c r="A53" s="1" t="s">
        <v>43</v>
      </c>
      <c r="B53" s="1" t="s">
        <v>16</v>
      </c>
      <c r="C53" s="3">
        <v>6.7</v>
      </c>
      <c r="D53" s="3">
        <v>184</v>
      </c>
      <c r="E53" s="3">
        <v>25.92</v>
      </c>
      <c r="F53" s="3">
        <v>2.4500000000000002</v>
      </c>
      <c r="G53" s="3">
        <v>92</v>
      </c>
      <c r="H53" s="3">
        <v>5435</v>
      </c>
      <c r="I53" s="3">
        <v>0.09</v>
      </c>
      <c r="J53" s="3">
        <v>154.4</v>
      </c>
      <c r="K53" s="3">
        <v>3.34</v>
      </c>
      <c r="L53" s="3">
        <v>6.25</v>
      </c>
      <c r="M53" s="2">
        <v>433.75920000000002</v>
      </c>
      <c r="N53" s="2">
        <v>44.657069999999997</v>
      </c>
      <c r="O53" s="2">
        <v>0.13367599999999999</v>
      </c>
      <c r="P53" s="2">
        <v>7.2605000000000003E-2</v>
      </c>
      <c r="Q53" s="2">
        <v>45.378059999999998</v>
      </c>
      <c r="R53" s="2">
        <v>1.5931097447065654E-2</v>
      </c>
      <c r="S53" s="2">
        <v>0.400281</v>
      </c>
      <c r="T53" s="2">
        <v>0.21812000000000001</v>
      </c>
      <c r="U53" s="2">
        <v>53.736660000000001</v>
      </c>
      <c r="V53" s="2">
        <v>155.99039999999999</v>
      </c>
      <c r="W53" s="6"/>
    </row>
    <row r="54" spans="1:23" ht="15" x14ac:dyDescent="0.2">
      <c r="A54" s="1" t="s">
        <v>44</v>
      </c>
      <c r="B54" s="1" t="s">
        <v>16</v>
      </c>
      <c r="C54" s="2">
        <v>6.86</v>
      </c>
      <c r="D54" s="2">
        <v>57</v>
      </c>
      <c r="E54" s="2">
        <v>26.58</v>
      </c>
      <c r="F54" s="2">
        <v>1.83</v>
      </c>
      <c r="G54" s="2">
        <v>28</v>
      </c>
      <c r="H54" s="2">
        <v>17540</v>
      </c>
      <c r="I54" s="2">
        <v>0.03</v>
      </c>
      <c r="J54" s="2">
        <v>217.9</v>
      </c>
      <c r="K54" s="2">
        <v>43.8</v>
      </c>
      <c r="L54" s="2">
        <f t="shared" ref="L54:L107" si="4">(0.093/10)*1000</f>
        <v>9.2999999999999989</v>
      </c>
      <c r="M54" s="2">
        <v>916.04240000000004</v>
      </c>
      <c r="N54" s="2">
        <v>331.55329999999998</v>
      </c>
      <c r="O54" s="2">
        <v>0.21197199999999999</v>
      </c>
      <c r="P54" s="2">
        <v>1.1386849999999999</v>
      </c>
      <c r="Q54" s="2">
        <v>96.685410000000005</v>
      </c>
      <c r="R54" s="2">
        <v>4.3683E-2</v>
      </c>
      <c r="S54" s="2">
        <v>0.25123899999999999</v>
      </c>
      <c r="T54" s="2">
        <v>1.2829429999999999</v>
      </c>
      <c r="U54" s="2">
        <v>56.321440000000003</v>
      </c>
      <c r="V54" s="2">
        <v>16.19229</v>
      </c>
      <c r="W54" s="7"/>
    </row>
    <row r="55" spans="1:23" ht="15" x14ac:dyDescent="0.2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ht="15.75" customHeight="1" x14ac:dyDescent="0.2">
      <c r="A56" s="1" t="s">
        <v>14</v>
      </c>
      <c r="B56" s="1" t="s">
        <v>17</v>
      </c>
      <c r="C56" s="2">
        <v>6.96</v>
      </c>
      <c r="D56" s="2">
        <v>143</v>
      </c>
      <c r="E56" s="2">
        <v>31.07</v>
      </c>
      <c r="F56" s="2">
        <v>1.02</v>
      </c>
      <c r="G56" s="2">
        <v>72</v>
      </c>
      <c r="H56" s="2">
        <v>6993</v>
      </c>
      <c r="I56" s="2">
        <v>7.0000000000000007E-2</v>
      </c>
      <c r="J56" s="2">
        <v>93.3</v>
      </c>
      <c r="K56" s="2">
        <v>15.6</v>
      </c>
      <c r="L56" s="2">
        <f>(0.086/10)*1000</f>
        <v>8.6</v>
      </c>
      <c r="M56" s="2">
        <v>1954.1220000000001</v>
      </c>
      <c r="N56" s="2">
        <v>60.302169999999997</v>
      </c>
      <c r="O56" s="3">
        <v>0.258318039</v>
      </c>
      <c r="P56" s="2">
        <v>0.34631434999999999</v>
      </c>
      <c r="Q56" s="2">
        <v>6.4338170000000003</v>
      </c>
      <c r="R56" s="2">
        <v>4.0392999999999998E-2</v>
      </c>
      <c r="S56" s="2">
        <v>0.88653999999999999</v>
      </c>
      <c r="T56" s="3">
        <v>0.93651641600000002</v>
      </c>
      <c r="U56" s="2">
        <v>61.842359999999999</v>
      </c>
      <c r="V56" s="2">
        <v>175.85820000000001</v>
      </c>
      <c r="W56" s="4"/>
    </row>
    <row r="57" spans="1:23" ht="15.75" customHeight="1" x14ac:dyDescent="0.2">
      <c r="A57" s="1" t="s">
        <v>20</v>
      </c>
      <c r="B57" s="1" t="s">
        <v>17</v>
      </c>
      <c r="C57" s="2">
        <v>7.04</v>
      </c>
      <c r="D57" s="2">
        <v>200</v>
      </c>
      <c r="E57" s="2">
        <v>32.06</v>
      </c>
      <c r="F57" s="2">
        <v>2.16</v>
      </c>
      <c r="G57" s="2">
        <v>100</v>
      </c>
      <c r="H57" s="2">
        <v>5000</v>
      </c>
      <c r="I57" s="2">
        <v>0.09</v>
      </c>
      <c r="J57" s="2">
        <v>165.6</v>
      </c>
      <c r="K57" s="2">
        <v>8.8000000000000007</v>
      </c>
      <c r="L57" s="2">
        <f>(0.075/10)*1000</f>
        <v>7.5</v>
      </c>
      <c r="M57" s="2">
        <v>1529.8520000000001</v>
      </c>
      <c r="N57" s="2">
        <v>350.86369999999999</v>
      </c>
      <c r="O57" s="3">
        <v>0.28453499700000001</v>
      </c>
      <c r="P57" s="2">
        <v>0.43480733999999999</v>
      </c>
      <c r="Q57" s="2">
        <v>33.570740000000001</v>
      </c>
      <c r="R57" s="2">
        <v>0.14482400000000001</v>
      </c>
      <c r="S57" s="2">
        <v>0.45141799999999999</v>
      </c>
      <c r="T57" s="3">
        <v>0.92027066800000001</v>
      </c>
      <c r="U57" s="2">
        <v>51.329880000000003</v>
      </c>
      <c r="V57" s="2">
        <v>89.547730000000001</v>
      </c>
      <c r="W57" s="4"/>
    </row>
    <row r="58" spans="1:23" ht="15.75" customHeight="1" x14ac:dyDescent="0.2">
      <c r="A58" s="1" t="s">
        <v>21</v>
      </c>
      <c r="B58" s="1" t="s">
        <v>17</v>
      </c>
      <c r="C58" s="2">
        <v>6.86</v>
      </c>
      <c r="D58" s="2">
        <v>459</v>
      </c>
      <c r="E58" s="2">
        <v>30.42</v>
      </c>
      <c r="F58" s="2">
        <v>1.4</v>
      </c>
      <c r="G58" s="2">
        <v>229</v>
      </c>
      <c r="H58" s="2">
        <v>2179</v>
      </c>
      <c r="I58" s="2">
        <v>0.22</v>
      </c>
      <c r="J58" s="2">
        <v>120.3</v>
      </c>
      <c r="K58" s="2">
        <v>72</v>
      </c>
      <c r="L58" s="2">
        <f>(0.068/10)*1000</f>
        <v>6.8000000000000007</v>
      </c>
      <c r="M58" s="2">
        <v>986.52729999999997</v>
      </c>
      <c r="N58" s="2">
        <v>28.310420000000001</v>
      </c>
      <c r="O58" s="3">
        <v>0.263990905</v>
      </c>
      <c r="P58" s="2">
        <v>0.55876915999999999</v>
      </c>
      <c r="Q58" s="2">
        <v>26.830410000000001</v>
      </c>
      <c r="R58" s="2">
        <v>1.7804979999999999</v>
      </c>
      <c r="S58" s="2">
        <v>0.71212900000000001</v>
      </c>
      <c r="T58" s="3">
        <v>0.80188232100000001</v>
      </c>
      <c r="U58" s="2">
        <v>59.701439999999998</v>
      </c>
      <c r="V58" s="2">
        <v>123.4746</v>
      </c>
      <c r="W58" s="4"/>
    </row>
    <row r="59" spans="1:23" ht="15.75" customHeight="1" x14ac:dyDescent="0.2">
      <c r="A59" s="1" t="s">
        <v>22</v>
      </c>
      <c r="B59" s="1" t="s">
        <v>17</v>
      </c>
      <c r="C59" s="2">
        <v>7.11</v>
      </c>
      <c r="D59" s="2">
        <v>260</v>
      </c>
      <c r="E59" s="2">
        <v>30.06</v>
      </c>
      <c r="F59" s="2">
        <v>1.03</v>
      </c>
      <c r="G59" s="2">
        <v>130</v>
      </c>
      <c r="H59" s="2">
        <v>3846</v>
      </c>
      <c r="I59" s="2">
        <v>0.12</v>
      </c>
      <c r="J59" s="2">
        <v>141.6</v>
      </c>
      <c r="K59" s="2">
        <v>28.4</v>
      </c>
      <c r="L59" s="2">
        <f>(0.066/10)*1000</f>
        <v>6.6</v>
      </c>
      <c r="M59" s="2">
        <v>1051.7570000000001</v>
      </c>
      <c r="N59" s="2">
        <v>175.9324</v>
      </c>
      <c r="O59" s="3">
        <v>0.206128219</v>
      </c>
      <c r="P59" s="2">
        <v>1.8724633100000001</v>
      </c>
      <c r="Q59" s="2">
        <v>17.784690000000001</v>
      </c>
      <c r="R59" s="2">
        <v>8.5528999999999994E-2</v>
      </c>
      <c r="S59" s="2">
        <v>0.461142</v>
      </c>
      <c r="T59" s="3">
        <v>0.81562775200000004</v>
      </c>
      <c r="U59" s="2">
        <v>52.431130000000003</v>
      </c>
      <c r="V59" s="2">
        <v>86.662819999999996</v>
      </c>
      <c r="W59" s="4"/>
    </row>
    <row r="60" spans="1:23" ht="15.75" customHeight="1" x14ac:dyDescent="0.2">
      <c r="A60" s="1" t="s">
        <v>23</v>
      </c>
      <c r="B60" s="1" t="s">
        <v>17</v>
      </c>
      <c r="C60" s="2">
        <v>6.58</v>
      </c>
      <c r="D60" s="2">
        <v>141</v>
      </c>
      <c r="E60" s="2">
        <v>29.22</v>
      </c>
      <c r="F60" s="2">
        <v>2.2400000000000002</v>
      </c>
      <c r="G60" s="2">
        <v>70</v>
      </c>
      <c r="H60" s="2">
        <v>7090</v>
      </c>
      <c r="I60" s="2">
        <v>0.06</v>
      </c>
      <c r="J60" s="2">
        <v>75.2</v>
      </c>
      <c r="K60" s="2">
        <v>85.6</v>
      </c>
      <c r="L60" s="2">
        <f>(0.085/10)*1000</f>
        <v>8.5</v>
      </c>
      <c r="M60" s="2">
        <v>1312.5820000000001</v>
      </c>
      <c r="N60" s="2">
        <v>259.30020000000002</v>
      </c>
      <c r="O60" s="3">
        <v>0.19785038399999999</v>
      </c>
      <c r="P60" s="2">
        <v>1.4387989299999999</v>
      </c>
      <c r="Q60" s="2">
        <v>22.87678</v>
      </c>
      <c r="R60" s="2">
        <v>3.9390000000000001E-2</v>
      </c>
      <c r="S60" s="2">
        <v>0.59952499999999997</v>
      </c>
      <c r="T60" s="3">
        <v>1.382635203</v>
      </c>
      <c r="U60" s="2">
        <v>57.572670000000002</v>
      </c>
      <c r="V60" s="2">
        <v>58.697510000000001</v>
      </c>
      <c r="W60" s="4"/>
    </row>
    <row r="61" spans="1:23" ht="15" x14ac:dyDescent="0.2">
      <c r="A61" s="1" t="s">
        <v>24</v>
      </c>
      <c r="B61" s="1" t="s">
        <v>17</v>
      </c>
      <c r="C61" s="2">
        <v>6.39</v>
      </c>
      <c r="D61" s="2">
        <v>87</v>
      </c>
      <c r="E61" s="2">
        <v>27.19</v>
      </c>
      <c r="F61" s="2">
        <v>2.2000000000000002</v>
      </c>
      <c r="G61" s="2">
        <v>44</v>
      </c>
      <c r="H61" s="2">
        <v>11490</v>
      </c>
      <c r="I61" s="2">
        <v>0.04</v>
      </c>
      <c r="J61" s="2">
        <v>104.1</v>
      </c>
      <c r="K61" s="2">
        <v>69</v>
      </c>
      <c r="L61" s="2">
        <f t="shared" si="2"/>
        <v>9.2999999999999989</v>
      </c>
      <c r="M61" s="2">
        <v>1631.3130000000001</v>
      </c>
      <c r="N61" s="2">
        <v>205.36170000000001</v>
      </c>
      <c r="O61" s="3">
        <v>0.19022963800000001</v>
      </c>
      <c r="P61" s="2">
        <v>0.11468067999999999</v>
      </c>
      <c r="Q61" s="2">
        <v>5.0390870000000003</v>
      </c>
      <c r="R61" s="2">
        <v>3.2128999999999998E-2</v>
      </c>
      <c r="S61" s="2">
        <v>0.57003400000000004</v>
      </c>
      <c r="T61" s="3">
        <v>1.2257533869999999</v>
      </c>
      <c r="U61" s="2">
        <v>57.068779999999997</v>
      </c>
      <c r="V61" s="2">
        <v>38.341099999999997</v>
      </c>
      <c r="W61" s="4"/>
    </row>
    <row r="62" spans="1:23" ht="15" x14ac:dyDescent="0.2">
      <c r="A62" s="1" t="s">
        <v>25</v>
      </c>
      <c r="B62" s="1" t="s">
        <v>17</v>
      </c>
      <c r="C62" s="2">
        <v>6.37</v>
      </c>
      <c r="D62" s="2">
        <v>93</v>
      </c>
      <c r="E62" s="2">
        <v>28.21</v>
      </c>
      <c r="F62" s="2">
        <v>1.75</v>
      </c>
      <c r="G62" s="2">
        <v>47</v>
      </c>
      <c r="H62" s="2">
        <v>10750</v>
      </c>
      <c r="I62" s="2">
        <v>0.04</v>
      </c>
      <c r="J62" s="2">
        <v>105.6</v>
      </c>
      <c r="K62" s="2">
        <v>18.600000000000001</v>
      </c>
      <c r="L62" s="2">
        <f t="shared" si="3"/>
        <v>8.3000000000000007</v>
      </c>
      <c r="M62" s="2">
        <v>1366.423</v>
      </c>
      <c r="N62" s="2">
        <v>186.83580000000001</v>
      </c>
      <c r="O62" s="3">
        <v>0.18093756499999999</v>
      </c>
      <c r="P62" s="2">
        <v>0.25022498999999998</v>
      </c>
      <c r="Q62" s="2">
        <v>6.9246220000000003</v>
      </c>
      <c r="R62" s="2">
        <v>3.6107E-2</v>
      </c>
      <c r="S62" s="2">
        <v>0.607464</v>
      </c>
      <c r="T62" s="3">
        <v>0.81472087800000004</v>
      </c>
      <c r="U62" s="2">
        <v>57.150410000000001</v>
      </c>
      <c r="V62" s="2">
        <v>72.012860000000003</v>
      </c>
      <c r="W62" s="6"/>
    </row>
    <row r="63" spans="1:23" ht="15" x14ac:dyDescent="0.2">
      <c r="A63" s="1" t="s">
        <v>26</v>
      </c>
      <c r="B63" s="1" t="s">
        <v>17</v>
      </c>
      <c r="C63" s="2">
        <v>6.25</v>
      </c>
      <c r="D63" s="2">
        <v>101</v>
      </c>
      <c r="E63" s="2">
        <v>29.27</v>
      </c>
      <c r="F63" s="2">
        <v>1.34</v>
      </c>
      <c r="G63" s="2">
        <v>50</v>
      </c>
      <c r="H63" s="2">
        <v>9900</v>
      </c>
      <c r="I63" s="2">
        <v>0.05</v>
      </c>
      <c r="J63" s="2">
        <v>126.8</v>
      </c>
      <c r="K63" s="2">
        <v>1.2</v>
      </c>
      <c r="L63" s="2">
        <f>(0.074/10)*1000</f>
        <v>7.3999999999999995</v>
      </c>
      <c r="M63" s="2">
        <v>1405.3430000000001</v>
      </c>
      <c r="N63" s="2">
        <v>67.371629999999996</v>
      </c>
      <c r="O63" s="3">
        <v>0.16605973299999999</v>
      </c>
      <c r="P63" s="2">
        <v>0.21810102000000001</v>
      </c>
      <c r="Q63" s="2">
        <v>12.09268</v>
      </c>
      <c r="R63" s="2">
        <v>6.1844999999999997E-2</v>
      </c>
      <c r="S63" s="2">
        <v>0.79689399999999999</v>
      </c>
      <c r="T63" s="3">
        <v>0.65086129800000003</v>
      </c>
      <c r="U63" s="2">
        <v>59.416449999999998</v>
      </c>
      <c r="V63" s="2">
        <v>166.13849999999999</v>
      </c>
      <c r="W63" s="7"/>
    </row>
    <row r="64" spans="1:23" ht="15" x14ac:dyDescent="0.2">
      <c r="A64" s="1" t="s">
        <v>27</v>
      </c>
      <c r="B64" s="1" t="s">
        <v>17</v>
      </c>
      <c r="C64" s="2">
        <v>6.51</v>
      </c>
      <c r="D64" s="2">
        <v>134</v>
      </c>
      <c r="E64" s="2">
        <v>30.83</v>
      </c>
      <c r="F64" s="2">
        <v>1.81</v>
      </c>
      <c r="G64" s="2">
        <v>67</v>
      </c>
      <c r="H64" s="2">
        <v>7460</v>
      </c>
      <c r="I64" s="2">
        <v>0.06</v>
      </c>
      <c r="J64" s="2">
        <v>94.7</v>
      </c>
      <c r="K64" s="2">
        <v>11.6</v>
      </c>
      <c r="L64" s="2">
        <f>(0.07/10)*1000</f>
        <v>7.0000000000000009</v>
      </c>
      <c r="M64" s="2">
        <v>1250.4459999999999</v>
      </c>
      <c r="N64" s="2">
        <v>39.07002</v>
      </c>
      <c r="O64" s="3">
        <v>0.146106082</v>
      </c>
      <c r="P64" s="2">
        <v>0.66675244</v>
      </c>
      <c r="Q64" s="2">
        <v>20.892510000000001</v>
      </c>
      <c r="R64" s="2">
        <v>5.8968E-2</v>
      </c>
      <c r="S64" s="2">
        <v>0.39232499999999998</v>
      </c>
      <c r="T64" s="3">
        <v>0.72729005199999996</v>
      </c>
      <c r="U64" s="2">
        <v>53.242489999999997</v>
      </c>
      <c r="V64" s="2">
        <v>70.676310000000001</v>
      </c>
      <c r="W64" s="6"/>
    </row>
    <row r="65" spans="1:23" ht="15" x14ac:dyDescent="0.2">
      <c r="A65" s="1" t="s">
        <v>28</v>
      </c>
      <c r="B65" s="1" t="s">
        <v>17</v>
      </c>
      <c r="C65" s="2">
        <v>6.69</v>
      </c>
      <c r="D65" s="2">
        <v>691</v>
      </c>
      <c r="E65" s="2">
        <v>29.96</v>
      </c>
      <c r="F65" s="2">
        <v>2.69</v>
      </c>
      <c r="G65" s="2">
        <v>345</v>
      </c>
      <c r="H65" s="2">
        <v>1447</v>
      </c>
      <c r="I65" s="2">
        <v>0.33</v>
      </c>
      <c r="J65" s="2">
        <v>51.6</v>
      </c>
      <c r="K65" s="2">
        <v>32.4</v>
      </c>
      <c r="L65" s="2">
        <v>6.9</v>
      </c>
      <c r="M65" s="2">
        <v>940.34090000000003</v>
      </c>
      <c r="N65" s="2">
        <v>55.491459999999996</v>
      </c>
      <c r="O65" s="3">
        <v>0.20890947700000001</v>
      </c>
      <c r="P65" s="2">
        <v>0.18007751999999999</v>
      </c>
      <c r="Q65" s="2">
        <v>14.07161</v>
      </c>
      <c r="R65" s="2">
        <v>6.3934000000000005E-2</v>
      </c>
      <c r="S65" s="2">
        <v>0.44291799999999998</v>
      </c>
      <c r="T65" s="3">
        <v>0.78946998400000001</v>
      </c>
      <c r="U65" s="2">
        <v>47.117669999999997</v>
      </c>
      <c r="V65" s="2">
        <v>62.1449</v>
      </c>
      <c r="W65" s="6"/>
    </row>
    <row r="66" spans="1:23" ht="15" x14ac:dyDescent="0.2">
      <c r="A66" s="1" t="s">
        <v>29</v>
      </c>
      <c r="B66" s="1" t="s">
        <v>17</v>
      </c>
      <c r="C66" s="2">
        <v>6.73</v>
      </c>
      <c r="D66" s="2">
        <v>1806</v>
      </c>
      <c r="E66" s="2">
        <v>30.42</v>
      </c>
      <c r="F66" s="2">
        <v>3.66</v>
      </c>
      <c r="G66" s="2">
        <v>903</v>
      </c>
      <c r="H66" s="2">
        <v>554</v>
      </c>
      <c r="I66" s="2">
        <v>0.91</v>
      </c>
      <c r="J66" s="2">
        <v>51.9</v>
      </c>
      <c r="K66" s="2">
        <v>23.4</v>
      </c>
      <c r="L66" s="2">
        <v>8.5</v>
      </c>
      <c r="M66" s="2">
        <v>680.03599999999994</v>
      </c>
      <c r="N66" s="2">
        <v>63.397599999999997</v>
      </c>
      <c r="O66" s="3">
        <v>0.24454542000000001</v>
      </c>
      <c r="P66" s="2">
        <v>0.34301412999999997</v>
      </c>
      <c r="Q66" s="2">
        <v>65.619060000000005</v>
      </c>
      <c r="R66" s="2">
        <v>0.102953</v>
      </c>
      <c r="S66" s="2">
        <v>0.44921</v>
      </c>
      <c r="T66" s="3">
        <v>0.75660680599999997</v>
      </c>
      <c r="U66" s="2">
        <v>55.212850000000003</v>
      </c>
      <c r="V66" s="2">
        <v>80.338939999999994</v>
      </c>
      <c r="W66" s="8"/>
    </row>
    <row r="67" spans="1:23" ht="15" x14ac:dyDescent="0.2">
      <c r="A67" s="1" t="s">
        <v>30</v>
      </c>
      <c r="B67" s="1" t="s">
        <v>17</v>
      </c>
      <c r="C67" s="2">
        <v>6.55</v>
      </c>
      <c r="D67" s="2">
        <v>257</v>
      </c>
      <c r="E67" s="2">
        <v>27.89</v>
      </c>
      <c r="F67" s="2">
        <v>1.2</v>
      </c>
      <c r="G67" s="2">
        <v>129</v>
      </c>
      <c r="H67" s="2">
        <v>3891</v>
      </c>
      <c r="I67" s="2">
        <v>0.12</v>
      </c>
      <c r="J67" s="2">
        <v>41.4</v>
      </c>
      <c r="K67" s="2">
        <v>40.6</v>
      </c>
      <c r="L67" s="2">
        <v>6.9</v>
      </c>
      <c r="M67" s="2">
        <v>766.04870000000005</v>
      </c>
      <c r="N67" s="3">
        <v>77.214619999999996</v>
      </c>
      <c r="O67" s="3">
        <v>0.15597908799999999</v>
      </c>
      <c r="P67" s="2">
        <v>0.22001803</v>
      </c>
      <c r="Q67" s="2">
        <v>8.8630759999999995</v>
      </c>
      <c r="R67" s="2">
        <v>1.3654575623012165E-2</v>
      </c>
      <c r="S67" s="2">
        <v>0.31539899999999998</v>
      </c>
      <c r="T67" s="3">
        <v>0.61491884900000005</v>
      </c>
      <c r="U67" s="2">
        <v>49.772530000000003</v>
      </c>
      <c r="V67" s="2">
        <v>50.067520000000002</v>
      </c>
      <c r="W67" s="6"/>
    </row>
    <row r="68" spans="1:23" ht="15" x14ac:dyDescent="0.2">
      <c r="A68" s="1" t="s">
        <v>31</v>
      </c>
      <c r="B68" s="1" t="s">
        <v>17</v>
      </c>
      <c r="C68" s="2">
        <v>6.78</v>
      </c>
      <c r="D68" s="2">
        <v>155</v>
      </c>
      <c r="E68" s="2">
        <v>27.61</v>
      </c>
      <c r="F68" s="2">
        <v>5.43</v>
      </c>
      <c r="G68" s="2">
        <v>78</v>
      </c>
      <c r="H68" s="2">
        <v>6452</v>
      </c>
      <c r="I68" s="2">
        <v>7.0000000000000007E-2</v>
      </c>
      <c r="J68" s="2">
        <v>98.8</v>
      </c>
      <c r="K68" s="2">
        <v>16</v>
      </c>
      <c r="L68" s="2">
        <v>6.9</v>
      </c>
      <c r="M68" s="2">
        <v>535.61469999999997</v>
      </c>
      <c r="N68" s="3">
        <v>17.8795</v>
      </c>
      <c r="O68" s="2">
        <v>0.132578</v>
      </c>
      <c r="P68" s="2">
        <v>0.35392899999999999</v>
      </c>
      <c r="Q68" s="2">
        <v>1.421521</v>
      </c>
      <c r="R68" s="2">
        <v>0.27643899999999999</v>
      </c>
      <c r="S68" s="2">
        <v>0.170573</v>
      </c>
      <c r="T68" s="2">
        <v>0.50294300000000003</v>
      </c>
      <c r="U68" s="2">
        <v>41.502110000000002</v>
      </c>
      <c r="V68" s="2">
        <v>23.818110000000001</v>
      </c>
      <c r="W68" s="6"/>
    </row>
    <row r="69" spans="1:23" ht="15" x14ac:dyDescent="0.2">
      <c r="A69" s="1" t="s">
        <v>32</v>
      </c>
      <c r="B69" s="1" t="s">
        <v>17</v>
      </c>
      <c r="C69" s="2">
        <v>6.39</v>
      </c>
      <c r="D69" s="2">
        <v>115</v>
      </c>
      <c r="E69" s="2">
        <v>25.88</v>
      </c>
      <c r="F69" s="2">
        <v>2.37</v>
      </c>
      <c r="G69" s="2">
        <v>58</v>
      </c>
      <c r="H69" s="2">
        <v>8700</v>
      </c>
      <c r="I69" s="2">
        <v>0.05</v>
      </c>
      <c r="J69" s="2">
        <v>143.9</v>
      </c>
      <c r="K69" s="2">
        <v>39.799999999999997</v>
      </c>
      <c r="L69" s="2">
        <v>4.7</v>
      </c>
      <c r="M69" s="2">
        <v>974.59670000000006</v>
      </c>
      <c r="N69" s="3">
        <v>402.96719999999999</v>
      </c>
      <c r="O69" s="2">
        <v>0.17855399999999999</v>
      </c>
      <c r="P69" s="2">
        <v>0.44018699999999999</v>
      </c>
      <c r="Q69" s="2">
        <v>26.885870000000001</v>
      </c>
      <c r="R69" s="2">
        <v>0.11036799999999999</v>
      </c>
      <c r="S69" s="2">
        <v>0.29173500000000002</v>
      </c>
      <c r="T69" s="2">
        <v>0.79530999999999996</v>
      </c>
      <c r="U69" s="2">
        <v>46.350969999999997</v>
      </c>
      <c r="V69" s="2">
        <v>26.365950000000002</v>
      </c>
      <c r="W69" s="6"/>
    </row>
    <row r="70" spans="1:23" ht="15" x14ac:dyDescent="0.2">
      <c r="A70" s="1" t="s">
        <v>33</v>
      </c>
      <c r="B70" s="1" t="s">
        <v>17</v>
      </c>
      <c r="C70" s="2">
        <v>6.65</v>
      </c>
      <c r="D70" s="2">
        <v>107</v>
      </c>
      <c r="E70" s="2">
        <v>26.49</v>
      </c>
      <c r="F70" s="2">
        <v>2.27</v>
      </c>
      <c r="G70" s="2">
        <v>54</v>
      </c>
      <c r="H70" s="2">
        <v>9350</v>
      </c>
      <c r="I70" s="2">
        <v>0.05</v>
      </c>
      <c r="J70" s="2">
        <v>118.7</v>
      </c>
      <c r="K70" s="2">
        <v>60.4</v>
      </c>
      <c r="L70" s="2">
        <v>7.3</v>
      </c>
      <c r="M70" s="2">
        <v>1500</v>
      </c>
      <c r="N70" s="3">
        <v>623</v>
      </c>
      <c r="O70" s="2">
        <v>0.124278322</v>
      </c>
      <c r="P70" s="2">
        <v>0.19844265</v>
      </c>
      <c r="Q70" s="2">
        <v>5.5393629999999998</v>
      </c>
      <c r="R70" s="2">
        <v>1.5931097447065654E-2</v>
      </c>
      <c r="S70" s="2">
        <v>0.35244700000000001</v>
      </c>
      <c r="T70" s="2">
        <v>0.97256900000000002</v>
      </c>
      <c r="U70" s="2">
        <v>54.41892</v>
      </c>
      <c r="V70" s="2">
        <v>29.122299999999999</v>
      </c>
      <c r="W70" s="6"/>
    </row>
    <row r="71" spans="1:23" ht="15" x14ac:dyDescent="0.2">
      <c r="A71" s="1" t="s">
        <v>34</v>
      </c>
      <c r="B71" s="1" t="s">
        <v>17</v>
      </c>
      <c r="C71" s="2">
        <v>6.48</v>
      </c>
      <c r="D71" s="2">
        <v>60</v>
      </c>
      <c r="E71" s="2">
        <v>26.67</v>
      </c>
      <c r="F71" s="2">
        <v>6.56</v>
      </c>
      <c r="G71" s="2">
        <v>30</v>
      </c>
      <c r="H71" s="2">
        <v>16670</v>
      </c>
      <c r="I71" s="2">
        <v>0.03</v>
      </c>
      <c r="J71" s="2">
        <v>99.9</v>
      </c>
      <c r="K71" s="2">
        <v>73.599999999999994</v>
      </c>
      <c r="L71" s="2">
        <v>7.3</v>
      </c>
      <c r="M71" s="2">
        <v>480.42680000000001</v>
      </c>
      <c r="N71" s="3">
        <v>22.247910000000001</v>
      </c>
      <c r="O71" s="2">
        <v>0.14789099999999999</v>
      </c>
      <c r="P71" s="2">
        <v>0.106144</v>
      </c>
      <c r="Q71" s="2">
        <v>7.4830459999999999</v>
      </c>
      <c r="R71" s="2">
        <v>6.8504999999999996E-2</v>
      </c>
      <c r="S71" s="2">
        <v>0.112371</v>
      </c>
      <c r="T71" s="2">
        <v>0.52929400000000004</v>
      </c>
      <c r="U71" s="2">
        <v>43.355200000000004</v>
      </c>
      <c r="V71" s="2">
        <v>5.5885670000000003</v>
      </c>
      <c r="W71" s="6"/>
    </row>
    <row r="72" spans="1:23" ht="15" x14ac:dyDescent="0.2">
      <c r="A72" s="1" t="s">
        <v>35</v>
      </c>
      <c r="B72" s="1" t="s">
        <v>17</v>
      </c>
      <c r="C72" s="2">
        <v>6.32</v>
      </c>
      <c r="D72" s="2">
        <v>97</v>
      </c>
      <c r="E72" s="2">
        <v>25.65</v>
      </c>
      <c r="F72" s="2">
        <v>1.96</v>
      </c>
      <c r="G72" s="2">
        <v>49</v>
      </c>
      <c r="H72" s="2">
        <v>10310</v>
      </c>
      <c r="I72" s="2">
        <v>0.04</v>
      </c>
      <c r="J72" s="2">
        <v>87.2</v>
      </c>
      <c r="K72" s="2">
        <v>13.2</v>
      </c>
      <c r="L72" s="2">
        <v>6.2</v>
      </c>
      <c r="M72" s="2">
        <v>393.33179999999999</v>
      </c>
      <c r="N72" s="3">
        <v>6.4542200000000003</v>
      </c>
      <c r="O72" s="2">
        <v>0.12639900000000001</v>
      </c>
      <c r="P72" s="2">
        <v>8.1528000000000003E-2</v>
      </c>
      <c r="Q72" s="2">
        <v>12.70063</v>
      </c>
      <c r="R72" s="2">
        <v>3.95E-2</v>
      </c>
      <c r="S72" s="2">
        <v>0.26540000000000002</v>
      </c>
      <c r="T72" s="2">
        <v>0.30070599999999997</v>
      </c>
      <c r="U72" s="2">
        <v>43.69547</v>
      </c>
      <c r="V72" s="2">
        <v>26.638200000000001</v>
      </c>
      <c r="W72" s="6"/>
    </row>
    <row r="73" spans="1:23" ht="15" x14ac:dyDescent="0.2">
      <c r="A73" s="1" t="s">
        <v>36</v>
      </c>
      <c r="B73" s="1" t="s">
        <v>17</v>
      </c>
      <c r="C73" s="2">
        <v>6.34</v>
      </c>
      <c r="D73" s="2">
        <v>98</v>
      </c>
      <c r="E73" s="2">
        <v>24.32</v>
      </c>
      <c r="F73" s="2">
        <v>1.72</v>
      </c>
      <c r="G73" s="2">
        <v>49</v>
      </c>
      <c r="H73" s="2">
        <v>10200</v>
      </c>
      <c r="I73" s="2">
        <v>0.04</v>
      </c>
      <c r="J73" s="2">
        <v>109.9</v>
      </c>
      <c r="K73" s="2">
        <v>0.8</v>
      </c>
      <c r="L73" s="2">
        <v>6.2</v>
      </c>
      <c r="M73" s="2">
        <v>787.76589999999999</v>
      </c>
      <c r="N73" s="3">
        <v>59.649900000000002</v>
      </c>
      <c r="O73" s="2">
        <v>0.114054</v>
      </c>
      <c r="P73" s="2">
        <v>0.16045899999999999</v>
      </c>
      <c r="Q73" s="2">
        <v>9.4868410000000001</v>
      </c>
      <c r="R73" s="2">
        <v>3.5006000000000002E-2</v>
      </c>
      <c r="S73" s="2">
        <v>0.26396399999999998</v>
      </c>
      <c r="T73" s="2">
        <v>0.33623700000000001</v>
      </c>
      <c r="U73" s="2">
        <v>41.590449999999997</v>
      </c>
      <c r="V73" s="2">
        <v>46.60604</v>
      </c>
      <c r="W73" s="6"/>
    </row>
    <row r="74" spans="1:23" ht="15" x14ac:dyDescent="0.2">
      <c r="A74" s="1" t="s">
        <v>37</v>
      </c>
      <c r="B74" s="1" t="s">
        <v>17</v>
      </c>
      <c r="C74" s="2">
        <v>6.62</v>
      </c>
      <c r="D74" s="2">
        <v>125</v>
      </c>
      <c r="E74" s="2">
        <v>25.99</v>
      </c>
      <c r="F74" s="2">
        <v>1.47</v>
      </c>
      <c r="G74" s="2">
        <v>62</v>
      </c>
      <c r="H74" s="2">
        <v>8000</v>
      </c>
      <c r="I74" s="2">
        <v>0.06</v>
      </c>
      <c r="J74" s="2">
        <v>81.099999999999994</v>
      </c>
      <c r="K74" s="2">
        <v>16.2</v>
      </c>
      <c r="L74" s="2">
        <v>1.5</v>
      </c>
      <c r="M74" s="2">
        <v>534.57069999999999</v>
      </c>
      <c r="N74" s="3">
        <v>52.276150000000001</v>
      </c>
      <c r="O74" s="2">
        <v>0.109709</v>
      </c>
      <c r="P74" s="2">
        <v>0.366676</v>
      </c>
      <c r="Q74" s="2">
        <v>21.97512</v>
      </c>
      <c r="R74" s="2">
        <v>3.4625000000000003E-2</v>
      </c>
      <c r="S74" s="2">
        <v>0.21912400000000001</v>
      </c>
      <c r="T74" s="2">
        <v>0.41114800000000001</v>
      </c>
      <c r="U74" s="2">
        <v>36.981990000000003</v>
      </c>
      <c r="V74" s="2">
        <v>24.87021</v>
      </c>
      <c r="W74" s="6"/>
    </row>
    <row r="75" spans="1:23" ht="15" x14ac:dyDescent="0.2">
      <c r="A75" s="1" t="s">
        <v>38</v>
      </c>
      <c r="B75" s="1" t="s">
        <v>17</v>
      </c>
      <c r="C75" s="2">
        <v>6.74</v>
      </c>
      <c r="D75" s="2">
        <v>139</v>
      </c>
      <c r="E75" s="2">
        <v>24.84</v>
      </c>
      <c r="F75" s="2">
        <v>2.02</v>
      </c>
      <c r="G75" s="2">
        <v>70</v>
      </c>
      <c r="H75" s="2">
        <v>7190</v>
      </c>
      <c r="I75" s="2">
        <v>0.06</v>
      </c>
      <c r="J75" s="2">
        <v>129.19999999999999</v>
      </c>
      <c r="K75" s="2">
        <v>14.4</v>
      </c>
      <c r="L75" s="2">
        <v>5.0999999999999996</v>
      </c>
      <c r="M75" s="2">
        <v>391.26159999999999</v>
      </c>
      <c r="N75" s="3">
        <v>61.716349999999998</v>
      </c>
      <c r="O75" s="2">
        <v>0.18087800000000001</v>
      </c>
      <c r="P75" s="2">
        <v>0.97732200000000002</v>
      </c>
      <c r="Q75" s="2">
        <v>47.451639999999998</v>
      </c>
      <c r="R75" s="2">
        <v>1.5931097447065654E-2</v>
      </c>
      <c r="S75" s="2">
        <v>0.23305799999999999</v>
      </c>
      <c r="T75" s="2">
        <v>0.424348</v>
      </c>
      <c r="U75" s="2">
        <v>98.377499999999998</v>
      </c>
      <c r="V75" s="2">
        <v>21.279769999999999</v>
      </c>
      <c r="W75" s="6"/>
    </row>
    <row r="76" spans="1:23" ht="15" x14ac:dyDescent="0.2">
      <c r="A76" s="1" t="s">
        <v>39</v>
      </c>
      <c r="B76" s="1" t="s">
        <v>17</v>
      </c>
      <c r="C76" s="3">
        <v>6.89</v>
      </c>
      <c r="D76" s="3">
        <v>902</v>
      </c>
      <c r="E76" s="3">
        <v>26.89</v>
      </c>
      <c r="F76" s="3">
        <v>2.91</v>
      </c>
      <c r="G76" s="3">
        <v>451</v>
      </c>
      <c r="H76" s="3">
        <v>1109</v>
      </c>
      <c r="I76" s="3">
        <v>0.44</v>
      </c>
      <c r="J76" s="3">
        <v>66.400000000000006</v>
      </c>
      <c r="K76" s="3">
        <v>7.71</v>
      </c>
      <c r="L76" s="3">
        <v>4.7</v>
      </c>
      <c r="M76" s="2">
        <v>172.47499999999999</v>
      </c>
      <c r="N76" s="3">
        <v>8.5201980000000006</v>
      </c>
      <c r="O76" s="2">
        <v>0.18865699999999999</v>
      </c>
      <c r="P76" s="2">
        <v>0.98684700000000003</v>
      </c>
      <c r="Q76" s="2">
        <v>14.04574</v>
      </c>
      <c r="R76" s="2">
        <v>1.5931097447065654E-2</v>
      </c>
      <c r="S76" s="2">
        <v>0.13877999999999999</v>
      </c>
      <c r="T76" s="2">
        <v>0.45114199999999999</v>
      </c>
      <c r="U76" s="2">
        <v>53.5062</v>
      </c>
      <c r="V76" s="2">
        <v>16.47804</v>
      </c>
      <c r="W76" s="6"/>
    </row>
    <row r="77" spans="1:23" ht="15" x14ac:dyDescent="0.2">
      <c r="A77" s="1" t="s">
        <v>40</v>
      </c>
      <c r="B77" s="1" t="s">
        <v>17</v>
      </c>
      <c r="C77" s="3">
        <v>6.98</v>
      </c>
      <c r="D77" s="3">
        <v>142</v>
      </c>
      <c r="E77" s="3">
        <v>26.43</v>
      </c>
      <c r="F77" s="3">
        <v>2.44</v>
      </c>
      <c r="G77" s="3">
        <v>71</v>
      </c>
      <c r="H77" s="3">
        <v>7042</v>
      </c>
      <c r="I77" s="3">
        <v>7.0000000000000007E-2</v>
      </c>
      <c r="J77" s="3">
        <v>86.8</v>
      </c>
      <c r="K77" s="3">
        <v>23.65</v>
      </c>
      <c r="L77" s="3">
        <v>6.8</v>
      </c>
      <c r="M77" s="2">
        <v>394.95830000000001</v>
      </c>
      <c r="N77" s="3">
        <v>40.002279999999999</v>
      </c>
      <c r="O77" s="2">
        <v>0.152944</v>
      </c>
      <c r="P77" s="2">
        <v>3.142802871879679E-2</v>
      </c>
      <c r="Q77" s="2">
        <v>17.10051</v>
      </c>
      <c r="R77" s="2">
        <v>1.5931097447065654E-2</v>
      </c>
      <c r="S77" s="2">
        <v>0.19412699999999999</v>
      </c>
      <c r="T77" s="2">
        <v>0.46047900000000003</v>
      </c>
      <c r="U77" s="2">
        <v>33.150950000000002</v>
      </c>
      <c r="V77" s="2">
        <v>20.31465</v>
      </c>
      <c r="W77" s="6"/>
    </row>
    <row r="78" spans="1:23" ht="15" x14ac:dyDescent="0.2">
      <c r="A78" s="1" t="s">
        <v>41</v>
      </c>
      <c r="B78" s="1" t="s">
        <v>17</v>
      </c>
      <c r="C78" s="3">
        <v>6.85</v>
      </c>
      <c r="D78" s="3">
        <v>125</v>
      </c>
      <c r="E78" s="3">
        <v>24.7</v>
      </c>
      <c r="F78" s="3">
        <v>2.37</v>
      </c>
      <c r="G78" s="3">
        <v>63</v>
      </c>
      <c r="H78" s="3">
        <v>8000</v>
      </c>
      <c r="I78" s="3">
        <v>0.06</v>
      </c>
      <c r="J78" s="3">
        <v>70.5</v>
      </c>
      <c r="K78" s="3">
        <v>38.28</v>
      </c>
      <c r="L78" s="3">
        <v>7.6</v>
      </c>
      <c r="M78" s="2">
        <v>623.43970000000002</v>
      </c>
      <c r="N78" s="3">
        <v>60.387729999999998</v>
      </c>
      <c r="O78" s="2">
        <v>0.135772</v>
      </c>
      <c r="P78" s="2">
        <v>3.142802871879679E-2</v>
      </c>
      <c r="Q78" s="2">
        <v>23.710760000000001</v>
      </c>
      <c r="R78" s="2">
        <v>1.5931097447065654E-2</v>
      </c>
      <c r="S78" s="2">
        <v>0.35075899999999999</v>
      </c>
      <c r="T78" s="2">
        <v>0.48993999999999999</v>
      </c>
      <c r="U78" s="2">
        <v>44.02816</v>
      </c>
      <c r="V78" s="2">
        <v>28.641940000000002</v>
      </c>
      <c r="W78" s="6"/>
    </row>
    <row r="79" spans="1:23" ht="15" x14ac:dyDescent="0.2">
      <c r="A79" s="1" t="s">
        <v>42</v>
      </c>
      <c r="B79" s="1" t="s">
        <v>17</v>
      </c>
      <c r="C79" s="3">
        <v>6.76</v>
      </c>
      <c r="D79" s="3">
        <v>200</v>
      </c>
      <c r="E79" s="3">
        <v>28.57</v>
      </c>
      <c r="F79" s="3">
        <v>2.4500000000000002</v>
      </c>
      <c r="G79" s="3">
        <v>100</v>
      </c>
      <c r="H79" s="3">
        <v>5000</v>
      </c>
      <c r="I79" s="3">
        <v>0.09</v>
      </c>
      <c r="J79" s="3">
        <v>90.9</v>
      </c>
      <c r="K79" s="3">
        <v>5.13</v>
      </c>
      <c r="L79" s="3">
        <v>7.3</v>
      </c>
      <c r="M79" s="2">
        <v>402.9128</v>
      </c>
      <c r="N79" s="3">
        <v>56.741549999999997</v>
      </c>
      <c r="O79" s="2">
        <v>0.21377699999999999</v>
      </c>
      <c r="P79" s="2">
        <v>0.25271900000000003</v>
      </c>
      <c r="Q79" s="2">
        <v>90.160619999999994</v>
      </c>
      <c r="R79" s="2">
        <v>1.5931097447065654E-2</v>
      </c>
      <c r="S79" s="2">
        <v>0.247562</v>
      </c>
      <c r="T79" s="2">
        <v>0.39812199999999998</v>
      </c>
      <c r="U79" s="2">
        <v>41.615499999999997</v>
      </c>
      <c r="V79" s="2">
        <v>37.095660000000002</v>
      </c>
      <c r="W79" s="6"/>
    </row>
    <row r="80" spans="1:23" ht="15" x14ac:dyDescent="0.2">
      <c r="A80" s="1" t="s">
        <v>43</v>
      </c>
      <c r="B80" s="1" t="s">
        <v>17</v>
      </c>
      <c r="C80" s="3">
        <v>7.18</v>
      </c>
      <c r="D80" s="3">
        <v>208</v>
      </c>
      <c r="E80" s="3">
        <v>25.86</v>
      </c>
      <c r="F80" s="3">
        <v>2.85</v>
      </c>
      <c r="G80" s="3">
        <v>104</v>
      </c>
      <c r="H80" s="3">
        <v>4808</v>
      </c>
      <c r="I80" s="3">
        <v>0.1</v>
      </c>
      <c r="J80" s="3">
        <v>148.69999999999999</v>
      </c>
      <c r="K80" s="3">
        <v>3.34</v>
      </c>
      <c r="L80" s="3">
        <v>6.2</v>
      </c>
      <c r="M80" s="2">
        <v>384.83530000000002</v>
      </c>
      <c r="N80" s="3">
        <v>57.546140000000001</v>
      </c>
      <c r="O80" s="2">
        <v>0.16117899999999999</v>
      </c>
      <c r="P80" s="2">
        <v>0.18635099999999999</v>
      </c>
      <c r="Q80" s="2">
        <v>67.812690000000003</v>
      </c>
      <c r="R80" s="2">
        <v>1.5931097447065654E-2</v>
      </c>
      <c r="S80" s="2">
        <v>0.25777499999999998</v>
      </c>
      <c r="T80" s="2">
        <v>0.42943999999999999</v>
      </c>
      <c r="U80" s="2">
        <v>47.99539</v>
      </c>
      <c r="V80" s="2">
        <v>69.253450000000001</v>
      </c>
      <c r="W80" s="6"/>
    </row>
    <row r="81" spans="1:23" ht="15" x14ac:dyDescent="0.2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6"/>
    </row>
    <row r="82" spans="1:23" ht="15.75" customHeight="1" x14ac:dyDescent="0.2">
      <c r="A82" s="1" t="s">
        <v>14</v>
      </c>
      <c r="B82" s="1" t="s">
        <v>18</v>
      </c>
      <c r="C82" s="2">
        <v>7.05</v>
      </c>
      <c r="D82" s="2">
        <v>173</v>
      </c>
      <c r="E82" s="2">
        <v>30.61</v>
      </c>
      <c r="F82" s="2">
        <v>1.37</v>
      </c>
      <c r="G82" s="2">
        <v>87</v>
      </c>
      <c r="H82" s="2">
        <v>5780</v>
      </c>
      <c r="I82" s="2">
        <v>0.08</v>
      </c>
      <c r="J82" s="2">
        <v>147.30000000000001</v>
      </c>
      <c r="K82" s="2">
        <v>15.6</v>
      </c>
      <c r="L82" s="2">
        <f>(0.09/10)*1000</f>
        <v>9</v>
      </c>
      <c r="M82" s="2">
        <v>1983.377</v>
      </c>
      <c r="N82" s="2">
        <v>149.9999</v>
      </c>
      <c r="O82" s="3">
        <v>0.25101616399999999</v>
      </c>
      <c r="P82" s="2">
        <v>2.8622857421982065E-2</v>
      </c>
      <c r="Q82" s="2">
        <v>2.6261559999999999</v>
      </c>
      <c r="R82" s="2">
        <v>3.3391999999999998E-2</v>
      </c>
      <c r="S82" s="2">
        <v>0.62403399999999998</v>
      </c>
      <c r="T82" s="3">
        <v>0.94141875600000002</v>
      </c>
      <c r="U82" s="2">
        <v>62.716290000000001</v>
      </c>
      <c r="V82" s="2">
        <v>139.77770000000001</v>
      </c>
      <c r="W82" s="4"/>
    </row>
    <row r="83" spans="1:23" ht="15.75" customHeight="1" x14ac:dyDescent="0.2">
      <c r="A83" s="1" t="s">
        <v>20</v>
      </c>
      <c r="B83" s="1" t="s">
        <v>18</v>
      </c>
      <c r="C83" s="2">
        <v>7.01</v>
      </c>
      <c r="D83" s="2">
        <v>466</v>
      </c>
      <c r="E83" s="2">
        <v>31.84</v>
      </c>
      <c r="F83" s="2">
        <v>2.33</v>
      </c>
      <c r="G83" s="2">
        <v>233</v>
      </c>
      <c r="H83" s="2">
        <v>2146</v>
      </c>
      <c r="I83" s="2">
        <v>0.22</v>
      </c>
      <c r="J83" s="2">
        <v>161.9</v>
      </c>
      <c r="K83" s="2">
        <v>8.8000000000000007</v>
      </c>
      <c r="L83" s="2">
        <f>(0.077/10)*1000</f>
        <v>7.7</v>
      </c>
      <c r="M83" s="2">
        <v>1201.953</v>
      </c>
      <c r="N83" s="2">
        <v>87.673919999999995</v>
      </c>
      <c r="O83" s="3">
        <v>0.28129447000000002</v>
      </c>
      <c r="P83" s="2">
        <v>0.38060969</v>
      </c>
      <c r="Q83" s="2">
        <v>35.053460000000001</v>
      </c>
      <c r="R83" s="2">
        <v>0.22455</v>
      </c>
      <c r="S83" s="2">
        <v>0.33909</v>
      </c>
      <c r="T83" s="3">
        <v>0.90633366100000001</v>
      </c>
      <c r="U83" s="2">
        <v>41.96658</v>
      </c>
      <c r="V83" s="2">
        <v>71.788210000000007</v>
      </c>
      <c r="W83" s="4"/>
    </row>
    <row r="84" spans="1:23" ht="15.75" customHeight="1" x14ac:dyDescent="0.2">
      <c r="A84" s="1" t="s">
        <v>21</v>
      </c>
      <c r="B84" s="1" t="s">
        <v>18</v>
      </c>
      <c r="C84" s="2">
        <v>7.33</v>
      </c>
      <c r="D84" s="2">
        <v>907</v>
      </c>
      <c r="E84" s="2">
        <v>30.46</v>
      </c>
      <c r="F84" s="2">
        <v>1.84</v>
      </c>
      <c r="G84" s="2">
        <v>453</v>
      </c>
      <c r="H84" s="2">
        <v>1103</v>
      </c>
      <c r="I84" s="2">
        <v>0.44</v>
      </c>
      <c r="J84" s="2">
        <v>110.8</v>
      </c>
      <c r="K84" s="2">
        <v>72</v>
      </c>
      <c r="L84" s="2">
        <f>(0.065/10)*1000</f>
        <v>6.5000000000000009</v>
      </c>
      <c r="M84" s="2">
        <v>545.22950000000003</v>
      </c>
      <c r="N84" s="2">
        <v>92.980429999999998</v>
      </c>
      <c r="O84" s="3">
        <v>0.37220310099999998</v>
      </c>
      <c r="P84" s="2">
        <v>1.30087693</v>
      </c>
      <c r="Q84" s="2">
        <v>29.040600000000001</v>
      </c>
      <c r="R84" s="2">
        <v>0.16562299999999999</v>
      </c>
      <c r="S84" s="2">
        <v>0.34912900000000002</v>
      </c>
      <c r="T84" s="3">
        <v>0.77491601499999996</v>
      </c>
      <c r="U84" s="2">
        <v>57.15372</v>
      </c>
      <c r="V84" s="2">
        <v>84.43338</v>
      </c>
      <c r="W84" s="4"/>
    </row>
    <row r="85" spans="1:23" ht="15.75" customHeight="1" x14ac:dyDescent="0.2">
      <c r="A85" s="1" t="s">
        <v>22</v>
      </c>
      <c r="B85" s="1" t="s">
        <v>18</v>
      </c>
      <c r="C85" s="2">
        <v>6.7</v>
      </c>
      <c r="D85" s="2">
        <v>392</v>
      </c>
      <c r="E85" s="2">
        <v>30.39</v>
      </c>
      <c r="F85" s="2">
        <v>1.54</v>
      </c>
      <c r="G85" s="2">
        <v>196</v>
      </c>
      <c r="H85" s="2">
        <v>2551</v>
      </c>
      <c r="I85" s="2">
        <v>0.19</v>
      </c>
      <c r="J85" s="2">
        <v>189.3</v>
      </c>
      <c r="K85" s="2">
        <v>28.4</v>
      </c>
      <c r="L85" s="2">
        <f>(0.076/10)*1000</f>
        <v>7.6</v>
      </c>
      <c r="M85" s="2">
        <v>995.28060000000005</v>
      </c>
      <c r="N85" s="2">
        <v>21.164059999999999</v>
      </c>
      <c r="O85" s="3">
        <v>0.29061406000000001</v>
      </c>
      <c r="P85" s="2">
        <v>0.59774198999999995</v>
      </c>
      <c r="Q85" s="2">
        <v>24.257960000000001</v>
      </c>
      <c r="R85" s="2">
        <v>0.172815</v>
      </c>
      <c r="S85" s="2">
        <v>0.36268499999999998</v>
      </c>
      <c r="T85" s="3">
        <v>0.89040565500000002</v>
      </c>
      <c r="U85" s="2">
        <v>48.958590000000001</v>
      </c>
      <c r="V85" s="2">
        <v>74.170029999999997</v>
      </c>
      <c r="W85" s="4"/>
    </row>
    <row r="86" spans="1:23" ht="15.75" customHeight="1" x14ac:dyDescent="0.2">
      <c r="A86" s="1" t="s">
        <v>23</v>
      </c>
      <c r="B86" s="1" t="s">
        <v>18</v>
      </c>
      <c r="C86" s="2">
        <v>6.65</v>
      </c>
      <c r="D86" s="2">
        <v>173</v>
      </c>
      <c r="E86" s="2">
        <v>29.07</v>
      </c>
      <c r="F86" s="2">
        <v>2.12</v>
      </c>
      <c r="G86" s="2">
        <v>86</v>
      </c>
      <c r="H86" s="2">
        <v>5780</v>
      </c>
      <c r="I86" s="2">
        <v>0.08</v>
      </c>
      <c r="J86" s="2">
        <v>150.1</v>
      </c>
      <c r="K86" s="2">
        <v>85.6</v>
      </c>
      <c r="L86" s="2">
        <f>(0.082/10)*1000</f>
        <v>8.2000000000000011</v>
      </c>
      <c r="M86" s="2">
        <v>1308.9929999999999</v>
      </c>
      <c r="N86" s="2">
        <v>970.68309999999997</v>
      </c>
      <c r="O86" s="3">
        <v>0.277302675</v>
      </c>
      <c r="P86" s="2">
        <v>4.5141324300000001</v>
      </c>
      <c r="Q86" s="2">
        <v>41.987879999999997</v>
      </c>
      <c r="R86" s="2">
        <v>5.1499999999999997E-2</v>
      </c>
      <c r="S86" s="2">
        <v>0.577318</v>
      </c>
      <c r="T86" s="3">
        <v>1.412572503</v>
      </c>
      <c r="U86" s="2">
        <v>58.89573</v>
      </c>
      <c r="V86" s="2">
        <v>57.633090000000003</v>
      </c>
      <c r="W86" s="4"/>
    </row>
    <row r="87" spans="1:23" ht="15" x14ac:dyDescent="0.2">
      <c r="A87" s="1" t="s">
        <v>24</v>
      </c>
      <c r="B87" s="1" t="s">
        <v>18</v>
      </c>
      <c r="C87" s="2">
        <v>6.41</v>
      </c>
      <c r="D87" s="2">
        <v>89</v>
      </c>
      <c r="E87" s="2">
        <v>27.01</v>
      </c>
      <c r="F87" s="2">
        <v>2.09</v>
      </c>
      <c r="G87" s="2">
        <v>44</v>
      </c>
      <c r="H87" s="2">
        <v>11240</v>
      </c>
      <c r="I87" s="2">
        <v>0.04</v>
      </c>
      <c r="J87" s="2">
        <v>147</v>
      </c>
      <c r="K87" s="2">
        <v>69</v>
      </c>
      <c r="L87" s="2">
        <f>(0.092/10)*1000</f>
        <v>9.1999999999999993</v>
      </c>
      <c r="M87" s="2">
        <v>1070.6400000000001</v>
      </c>
      <c r="N87" s="2">
        <v>160.5264</v>
      </c>
      <c r="O87" s="3">
        <v>0.18366607600000001</v>
      </c>
      <c r="P87" s="2">
        <v>9.9002300000000001E-2</v>
      </c>
      <c r="Q87" s="2">
        <v>2.1344650000000001</v>
      </c>
      <c r="R87" s="2">
        <v>0.208285</v>
      </c>
      <c r="S87" s="2">
        <v>0.438448</v>
      </c>
      <c r="T87" s="3">
        <v>1.083995531</v>
      </c>
      <c r="U87" s="2">
        <v>54.044969999999999</v>
      </c>
      <c r="V87" s="2">
        <v>34.83849</v>
      </c>
      <c r="W87" s="4"/>
    </row>
    <row r="88" spans="1:23" ht="15" x14ac:dyDescent="0.2">
      <c r="A88" s="1" t="s">
        <v>25</v>
      </c>
      <c r="B88" s="1" t="s">
        <v>18</v>
      </c>
      <c r="C88" s="2">
        <v>6.3</v>
      </c>
      <c r="D88" s="2">
        <v>44</v>
      </c>
      <c r="E88" s="2">
        <v>28.07</v>
      </c>
      <c r="F88" s="2">
        <v>2.29</v>
      </c>
      <c r="G88" s="2">
        <v>22</v>
      </c>
      <c r="H88" s="2">
        <v>22700</v>
      </c>
      <c r="I88" s="2">
        <v>0.02</v>
      </c>
      <c r="J88" s="2">
        <v>120.4</v>
      </c>
      <c r="K88" s="2">
        <v>18.600000000000001</v>
      </c>
      <c r="L88" s="2">
        <f>(0.081/10)*1000</f>
        <v>8.1</v>
      </c>
      <c r="M88" s="2">
        <v>1223.153</v>
      </c>
      <c r="N88" s="2">
        <v>112.11060000000001</v>
      </c>
      <c r="O88" s="3">
        <v>0.133949186</v>
      </c>
      <c r="P88" s="2">
        <v>0.26912227</v>
      </c>
      <c r="Q88" s="2">
        <v>8.9983310000000003</v>
      </c>
      <c r="R88" s="2">
        <v>3.0724000000000001E-2</v>
      </c>
      <c r="S88" s="2">
        <v>0.49447400000000002</v>
      </c>
      <c r="T88" s="3">
        <v>0.81334419700000005</v>
      </c>
      <c r="U88" s="2">
        <v>54.11994</v>
      </c>
      <c r="V88" s="2">
        <v>62.533189999999998</v>
      </c>
      <c r="W88" s="6"/>
    </row>
    <row r="89" spans="1:23" ht="15" x14ac:dyDescent="0.2">
      <c r="A89" s="1" t="s">
        <v>26</v>
      </c>
      <c r="B89" s="1" t="s">
        <v>18</v>
      </c>
      <c r="C89" s="2">
        <v>6.34</v>
      </c>
      <c r="D89" s="2">
        <v>105</v>
      </c>
      <c r="E89" s="2">
        <v>29.12</v>
      </c>
      <c r="F89" s="2">
        <v>1.68</v>
      </c>
      <c r="G89" s="2">
        <v>53</v>
      </c>
      <c r="H89" s="2">
        <v>9520</v>
      </c>
      <c r="I89" s="2">
        <v>0.05</v>
      </c>
      <c r="J89" s="2">
        <v>126.7</v>
      </c>
      <c r="K89" s="2">
        <v>1.2</v>
      </c>
      <c r="L89" s="2">
        <f>(0.075/10)*1000</f>
        <v>7.5</v>
      </c>
      <c r="M89" s="2">
        <v>1547.7850000000001</v>
      </c>
      <c r="N89" s="2">
        <v>135.68889999999999</v>
      </c>
      <c r="O89" s="3">
        <v>0.20267903500000001</v>
      </c>
      <c r="P89" s="2">
        <v>0.1314206</v>
      </c>
      <c r="Q89" s="2">
        <v>14.365069999999999</v>
      </c>
      <c r="R89" s="2">
        <v>3.814E-2</v>
      </c>
      <c r="S89" s="2">
        <v>0.63903399999999999</v>
      </c>
      <c r="T89" s="3">
        <v>0.70089569600000001</v>
      </c>
      <c r="U89" s="2">
        <v>61.18112</v>
      </c>
      <c r="V89" s="2">
        <v>127.02419999999999</v>
      </c>
      <c r="W89" s="7"/>
    </row>
    <row r="90" spans="1:23" ht="15" x14ac:dyDescent="0.2">
      <c r="A90" s="1" t="s">
        <v>27</v>
      </c>
      <c r="B90" s="1" t="s">
        <v>18</v>
      </c>
      <c r="C90" s="2">
        <v>6.56</v>
      </c>
      <c r="D90" s="2">
        <v>165</v>
      </c>
      <c r="E90" s="2">
        <v>30.88</v>
      </c>
      <c r="F90" s="2">
        <v>2</v>
      </c>
      <c r="G90" s="2">
        <v>82</v>
      </c>
      <c r="H90" s="2">
        <v>6061</v>
      </c>
      <c r="I90" s="2">
        <v>0.08</v>
      </c>
      <c r="J90" s="2">
        <v>98.3</v>
      </c>
      <c r="K90" s="2">
        <v>11.6</v>
      </c>
      <c r="L90" s="2">
        <f>(0.069/10)*1000</f>
        <v>6.9</v>
      </c>
      <c r="M90" s="2">
        <v>1119.2850000000001</v>
      </c>
      <c r="N90" s="2">
        <v>5.8659470000000002</v>
      </c>
      <c r="O90" s="3">
        <v>0.170048531</v>
      </c>
      <c r="P90" s="2">
        <v>0.11856154000000001</v>
      </c>
      <c r="Q90" s="2">
        <v>5.280132</v>
      </c>
      <c r="R90" s="2">
        <v>0.248252</v>
      </c>
      <c r="S90" s="2">
        <v>0.36192099999999999</v>
      </c>
      <c r="T90" s="3">
        <v>0.71839155300000002</v>
      </c>
      <c r="U90" s="2">
        <v>50.114890000000003</v>
      </c>
      <c r="V90" s="2">
        <v>67.817210000000003</v>
      </c>
      <c r="W90" s="6"/>
    </row>
    <row r="91" spans="1:23" ht="15" x14ac:dyDescent="0.2">
      <c r="A91" s="1" t="s">
        <v>28</v>
      </c>
      <c r="B91" s="1" t="s">
        <v>18</v>
      </c>
      <c r="C91" s="2">
        <v>6.77</v>
      </c>
      <c r="D91" s="2">
        <v>2000</v>
      </c>
      <c r="E91" s="2">
        <v>29.85</v>
      </c>
      <c r="F91" s="2">
        <v>3.38</v>
      </c>
      <c r="G91" s="2">
        <v>1000</v>
      </c>
      <c r="H91" s="2">
        <v>500</v>
      </c>
      <c r="I91" s="2">
        <v>1.01</v>
      </c>
      <c r="J91" s="2">
        <v>61.5</v>
      </c>
      <c r="K91" s="2">
        <v>32.4</v>
      </c>
      <c r="L91" s="2">
        <v>6.1</v>
      </c>
      <c r="M91" s="2">
        <v>644.49810000000002</v>
      </c>
      <c r="N91" s="2">
        <v>44.549340000000001</v>
      </c>
      <c r="O91" s="3">
        <v>0.24414043499999999</v>
      </c>
      <c r="P91" s="2">
        <v>0.13420583</v>
      </c>
      <c r="Q91" s="2">
        <v>14.27646</v>
      </c>
      <c r="R91" s="2">
        <v>6.7819000000000004E-2</v>
      </c>
      <c r="S91" s="2">
        <v>0.35548800000000003</v>
      </c>
      <c r="T91" s="3">
        <v>0.74406060600000001</v>
      </c>
      <c r="U91" s="2">
        <v>61.573090000000001</v>
      </c>
      <c r="V91" s="2">
        <v>69.308589999999995</v>
      </c>
      <c r="W91" s="6"/>
    </row>
    <row r="92" spans="1:23" ht="15" x14ac:dyDescent="0.2">
      <c r="A92" s="1" t="s">
        <v>29</v>
      </c>
      <c r="B92" s="1" t="s">
        <v>18</v>
      </c>
      <c r="C92" s="2">
        <v>6.82</v>
      </c>
      <c r="D92" s="2">
        <v>9184</v>
      </c>
      <c r="E92" s="2">
        <v>30.51</v>
      </c>
      <c r="F92" s="2">
        <v>4.47</v>
      </c>
      <c r="G92" s="2">
        <v>4592</v>
      </c>
      <c r="H92" s="2">
        <v>109</v>
      </c>
      <c r="I92" s="2">
        <v>5.09</v>
      </c>
      <c r="J92" s="2">
        <v>65.900000000000006</v>
      </c>
      <c r="K92" s="2">
        <v>23.4</v>
      </c>
      <c r="L92" s="2">
        <v>5.5</v>
      </c>
      <c r="M92" s="2">
        <v>317.4479</v>
      </c>
      <c r="N92" s="2">
        <v>13.64795</v>
      </c>
      <c r="O92" s="3">
        <v>0.35944430599999999</v>
      </c>
      <c r="P92" s="2">
        <v>0.21880643999999999</v>
      </c>
      <c r="Q92" s="2">
        <v>42.958240000000004</v>
      </c>
      <c r="R92" s="2">
        <v>4.9104000000000002E-2</v>
      </c>
      <c r="S92" s="2">
        <v>0.45488600000000001</v>
      </c>
      <c r="T92" s="3">
        <v>0.64233695800000001</v>
      </c>
      <c r="U92" s="2">
        <v>99.359319999999997</v>
      </c>
      <c r="V92" s="2">
        <v>92.858829999999998</v>
      </c>
      <c r="W92" s="8"/>
    </row>
    <row r="93" spans="1:23" ht="15" x14ac:dyDescent="0.2">
      <c r="A93" s="1" t="s">
        <v>30</v>
      </c>
      <c r="B93" s="1" t="s">
        <v>18</v>
      </c>
      <c r="C93" s="2">
        <v>6.59</v>
      </c>
      <c r="D93" s="2">
        <v>539</v>
      </c>
      <c r="E93" s="2">
        <v>28.16</v>
      </c>
      <c r="F93" s="2">
        <v>1.46</v>
      </c>
      <c r="G93" s="2">
        <v>269</v>
      </c>
      <c r="H93" s="2">
        <v>1855</v>
      </c>
      <c r="I93" s="2">
        <v>0.26</v>
      </c>
      <c r="J93" s="2">
        <v>70.8</v>
      </c>
      <c r="K93" s="2">
        <v>40.6</v>
      </c>
      <c r="L93" s="2">
        <v>6.4</v>
      </c>
      <c r="M93" s="2">
        <v>574.86419999999998</v>
      </c>
      <c r="N93" s="3">
        <v>68.348650000000006</v>
      </c>
      <c r="O93" s="3">
        <v>0.217553252</v>
      </c>
      <c r="P93" s="2">
        <v>0.37871702000000002</v>
      </c>
      <c r="Q93" s="2">
        <v>4.4849500000000004</v>
      </c>
      <c r="R93" s="2">
        <v>1.3654575623012165E-2</v>
      </c>
      <c r="S93" s="2">
        <v>0.29571999999999998</v>
      </c>
      <c r="T93" s="3">
        <v>0.65452220900000002</v>
      </c>
      <c r="U93" s="2">
        <v>45.061239999999998</v>
      </c>
      <c r="V93" s="2">
        <v>49.316020000000002</v>
      </c>
      <c r="W93" s="6"/>
    </row>
    <row r="94" spans="1:23" ht="15" x14ac:dyDescent="0.2">
      <c r="A94" s="1" t="s">
        <v>31</v>
      </c>
      <c r="B94" s="1" t="s">
        <v>18</v>
      </c>
      <c r="C94" s="2">
        <v>6.72</v>
      </c>
      <c r="D94" s="2">
        <v>186</v>
      </c>
      <c r="E94" s="2">
        <v>27.47</v>
      </c>
      <c r="F94" s="2">
        <v>2.52</v>
      </c>
      <c r="G94" s="2">
        <v>93</v>
      </c>
      <c r="H94" s="2">
        <v>5376</v>
      </c>
      <c r="I94" s="2">
        <v>0.09</v>
      </c>
      <c r="J94" s="2">
        <v>98.7</v>
      </c>
      <c r="K94" s="2">
        <v>16</v>
      </c>
      <c r="L94" s="2">
        <v>6.4</v>
      </c>
      <c r="M94" s="2">
        <v>476.20249999999999</v>
      </c>
      <c r="N94" s="3">
        <v>56.810409999999997</v>
      </c>
      <c r="O94" s="2">
        <v>0.162742</v>
      </c>
      <c r="P94" s="2">
        <v>0.15648999999999999</v>
      </c>
      <c r="Q94" s="2">
        <v>7.062665</v>
      </c>
      <c r="R94" s="2">
        <v>0.223416</v>
      </c>
      <c r="S94" s="2">
        <v>0.16551399999999999</v>
      </c>
      <c r="T94" s="2">
        <v>0.50040600000000002</v>
      </c>
      <c r="U94" s="2">
        <v>38.579790000000003</v>
      </c>
      <c r="V94" s="2">
        <v>21.911000000000001</v>
      </c>
      <c r="W94" s="6"/>
    </row>
    <row r="95" spans="1:23" ht="15" x14ac:dyDescent="0.2">
      <c r="A95" s="1" t="s">
        <v>32</v>
      </c>
      <c r="B95" s="1" t="s">
        <v>18</v>
      </c>
      <c r="C95" s="2">
        <v>6.3</v>
      </c>
      <c r="D95" s="2">
        <v>134</v>
      </c>
      <c r="E95" s="2">
        <v>26.09</v>
      </c>
      <c r="F95" s="2">
        <v>2.33</v>
      </c>
      <c r="G95" s="2">
        <v>67</v>
      </c>
      <c r="H95" s="2">
        <v>7460</v>
      </c>
      <c r="I95" s="2">
        <v>0.06</v>
      </c>
      <c r="J95" s="2">
        <v>145.80000000000001</v>
      </c>
      <c r="K95" s="2">
        <v>39.799999999999997</v>
      </c>
      <c r="L95" s="2">
        <v>4.8</v>
      </c>
      <c r="M95" s="2">
        <v>813.06050000000005</v>
      </c>
      <c r="N95" s="3">
        <v>56.294080000000001</v>
      </c>
      <c r="O95" s="2">
        <v>0.21079700000000001</v>
      </c>
      <c r="P95" s="2">
        <v>0.35144799999999998</v>
      </c>
      <c r="Q95" s="2">
        <v>20.05058</v>
      </c>
      <c r="R95" s="2">
        <v>0.101261</v>
      </c>
      <c r="S95" s="2">
        <v>0.23672599999999999</v>
      </c>
      <c r="T95" s="2">
        <v>0.77758000000000005</v>
      </c>
      <c r="U95" s="2">
        <v>43.838560000000001</v>
      </c>
      <c r="V95" s="2">
        <v>22.562729999999998</v>
      </c>
      <c r="W95" s="6"/>
    </row>
    <row r="96" spans="1:23" ht="15" x14ac:dyDescent="0.2">
      <c r="A96" s="1" t="s">
        <v>33</v>
      </c>
      <c r="B96" s="1" t="s">
        <v>18</v>
      </c>
      <c r="C96" s="2">
        <v>6.64</v>
      </c>
      <c r="D96" s="2">
        <v>116</v>
      </c>
      <c r="E96" s="2">
        <v>26.79</v>
      </c>
      <c r="F96" s="2">
        <v>2.41</v>
      </c>
      <c r="G96" s="2">
        <v>58</v>
      </c>
      <c r="H96" s="2">
        <v>8620</v>
      </c>
      <c r="I96" s="2">
        <v>0.05</v>
      </c>
      <c r="J96" s="2">
        <v>121.7</v>
      </c>
      <c r="K96" s="2">
        <v>60.4</v>
      </c>
      <c r="L96" s="2">
        <v>7.2</v>
      </c>
      <c r="M96" s="2">
        <v>1100</v>
      </c>
      <c r="N96" s="3">
        <v>71</v>
      </c>
      <c r="O96" s="2">
        <v>0.16507766199999999</v>
      </c>
      <c r="P96" s="2">
        <v>0.28369558</v>
      </c>
      <c r="Q96" s="2">
        <v>11.35249</v>
      </c>
      <c r="R96" s="2">
        <v>1.5931097447065654E-2</v>
      </c>
      <c r="S96" s="2">
        <v>0.31114399999999998</v>
      </c>
      <c r="T96" s="2">
        <v>0.92659000000000002</v>
      </c>
      <c r="U96" s="2">
        <v>52.159309999999998</v>
      </c>
      <c r="V96" s="2">
        <v>30.53678</v>
      </c>
      <c r="W96" s="6"/>
    </row>
    <row r="97" spans="1:23" ht="15" x14ac:dyDescent="0.2">
      <c r="A97" s="1" t="s">
        <v>34</v>
      </c>
      <c r="B97" s="1" t="s">
        <v>18</v>
      </c>
      <c r="C97" s="2">
        <v>6.74</v>
      </c>
      <c r="D97" s="2">
        <v>100</v>
      </c>
      <c r="E97" s="2">
        <v>25.47</v>
      </c>
      <c r="F97" s="2">
        <v>2</v>
      </c>
      <c r="G97" s="2">
        <v>50</v>
      </c>
      <c r="H97" s="2">
        <v>10000</v>
      </c>
      <c r="I97" s="2">
        <v>0.05</v>
      </c>
      <c r="J97" s="2">
        <v>110.7</v>
      </c>
      <c r="K97" s="2">
        <v>73.599999999999994</v>
      </c>
      <c r="L97" s="2">
        <v>8.1</v>
      </c>
      <c r="M97" s="2">
        <v>463.60930000000002</v>
      </c>
      <c r="N97" s="3">
        <v>96.436269999999993</v>
      </c>
      <c r="O97" s="2">
        <v>0.14318500000000001</v>
      </c>
      <c r="P97" s="2">
        <v>3.142802871879679E-2</v>
      </c>
      <c r="Q97" s="2">
        <v>7.2154470000000002</v>
      </c>
      <c r="R97" s="2">
        <v>5.3088000000000003E-2</v>
      </c>
      <c r="S97" s="2">
        <v>0.12183099999999999</v>
      </c>
      <c r="T97" s="2">
        <v>0.46190799999999999</v>
      </c>
      <c r="U97" s="2">
        <v>47.334910000000001</v>
      </c>
      <c r="V97" s="2">
        <v>5.8269399999999996</v>
      </c>
      <c r="W97" s="6"/>
    </row>
    <row r="98" spans="1:23" ht="15" x14ac:dyDescent="0.2">
      <c r="A98" s="1" t="s">
        <v>35</v>
      </c>
      <c r="B98" s="1" t="s">
        <v>18</v>
      </c>
      <c r="C98" s="2">
        <v>6.57</v>
      </c>
      <c r="D98" s="2">
        <v>106</v>
      </c>
      <c r="E98" s="2">
        <v>25.7</v>
      </c>
      <c r="F98" s="2">
        <v>2.27</v>
      </c>
      <c r="G98" s="2">
        <v>53</v>
      </c>
      <c r="H98" s="2">
        <v>9430</v>
      </c>
      <c r="I98" s="2">
        <v>0.05</v>
      </c>
      <c r="J98" s="2">
        <v>132.1</v>
      </c>
      <c r="K98" s="2">
        <v>13.2</v>
      </c>
      <c r="L98" s="2">
        <v>6.2</v>
      </c>
      <c r="M98" s="2">
        <v>573.60599999999999</v>
      </c>
      <c r="N98" s="3">
        <v>42.105029999999999</v>
      </c>
      <c r="O98" s="2">
        <v>0.12717200000000001</v>
      </c>
      <c r="P98" s="2">
        <v>0.16844100000000001</v>
      </c>
      <c r="Q98" s="2">
        <v>22.351800000000001</v>
      </c>
      <c r="R98" s="2">
        <v>1.5931097447065654E-2</v>
      </c>
      <c r="S98" s="2">
        <v>0.20194999999999999</v>
      </c>
      <c r="T98" s="2">
        <v>0.42136400000000002</v>
      </c>
      <c r="U98" s="2">
        <v>47.862180000000002</v>
      </c>
      <c r="V98" s="2">
        <v>22.78369</v>
      </c>
      <c r="W98" s="6"/>
    </row>
    <row r="99" spans="1:23" ht="15" x14ac:dyDescent="0.2">
      <c r="A99" s="1" t="s">
        <v>36</v>
      </c>
      <c r="B99" s="1" t="s">
        <v>18</v>
      </c>
      <c r="C99" s="2">
        <v>6.46</v>
      </c>
      <c r="D99" s="2">
        <v>112</v>
      </c>
      <c r="E99" s="2">
        <v>24.61</v>
      </c>
      <c r="F99" s="2">
        <v>2.56</v>
      </c>
      <c r="G99" s="2">
        <v>56</v>
      </c>
      <c r="H99" s="2">
        <v>8930</v>
      </c>
      <c r="I99" s="2">
        <v>0.05</v>
      </c>
      <c r="J99" s="2">
        <v>148.80000000000001</v>
      </c>
      <c r="K99" s="2">
        <v>0.8</v>
      </c>
      <c r="L99" s="2">
        <v>6.1</v>
      </c>
      <c r="M99" s="2">
        <v>840.42010000000005</v>
      </c>
      <c r="N99" s="3">
        <v>42.060420000000001</v>
      </c>
      <c r="O99" s="2">
        <v>0.13883000000000001</v>
      </c>
      <c r="P99" s="2">
        <v>0.31056600000000001</v>
      </c>
      <c r="Q99" s="2">
        <v>25.290749999999999</v>
      </c>
      <c r="R99" s="2">
        <v>1.5931097447065654E-2</v>
      </c>
      <c r="S99" s="2">
        <v>0.24934000000000001</v>
      </c>
      <c r="T99" s="2">
        <v>0.38123400000000002</v>
      </c>
      <c r="U99" s="2">
        <v>42.759709999999998</v>
      </c>
      <c r="V99" s="2">
        <v>43.85568</v>
      </c>
      <c r="W99" s="6"/>
    </row>
    <row r="100" spans="1:23" ht="15" x14ac:dyDescent="0.2">
      <c r="A100" s="1" t="s">
        <v>37</v>
      </c>
      <c r="B100" s="1" t="s">
        <v>18</v>
      </c>
      <c r="C100" s="2">
        <v>6.76</v>
      </c>
      <c r="D100" s="2">
        <v>173</v>
      </c>
      <c r="E100" s="2">
        <v>26.22</v>
      </c>
      <c r="F100" s="2">
        <v>2.17</v>
      </c>
      <c r="G100" s="2">
        <v>87</v>
      </c>
      <c r="H100" s="2">
        <v>5780</v>
      </c>
      <c r="I100" s="2">
        <v>0.08</v>
      </c>
      <c r="J100" s="2">
        <v>119.9</v>
      </c>
      <c r="K100" s="2">
        <v>16.2</v>
      </c>
      <c r="L100" s="2">
        <v>1.2</v>
      </c>
      <c r="M100" s="2">
        <v>414.8578</v>
      </c>
      <c r="N100" s="3">
        <v>0.25311400000000001</v>
      </c>
      <c r="O100" s="2">
        <v>0.16692499999999999</v>
      </c>
      <c r="P100" s="2">
        <v>0.27570800000000001</v>
      </c>
      <c r="Q100" s="2">
        <v>20.347090000000001</v>
      </c>
      <c r="R100" s="2">
        <v>1.5931097447065654E-2</v>
      </c>
      <c r="S100" s="2">
        <v>0.158169</v>
      </c>
      <c r="T100" s="2">
        <v>0.42723800000000001</v>
      </c>
      <c r="U100" s="2">
        <v>37.049300000000002</v>
      </c>
      <c r="V100" s="2">
        <v>19.76688</v>
      </c>
      <c r="W100" s="6"/>
    </row>
    <row r="101" spans="1:23" ht="15" x14ac:dyDescent="0.2">
      <c r="A101" s="1" t="s">
        <v>38</v>
      </c>
      <c r="B101" s="1" t="s">
        <v>18</v>
      </c>
      <c r="C101" s="2">
        <v>6.8</v>
      </c>
      <c r="D101" s="2">
        <v>138</v>
      </c>
      <c r="E101" s="2">
        <v>24.6</v>
      </c>
      <c r="F101" s="2">
        <v>2.4500000000000002</v>
      </c>
      <c r="G101" s="2">
        <v>69</v>
      </c>
      <c r="H101" s="2">
        <v>7250</v>
      </c>
      <c r="I101" s="2">
        <v>0.06</v>
      </c>
      <c r="J101" s="2">
        <v>130.4</v>
      </c>
      <c r="K101" s="2">
        <v>14.4</v>
      </c>
      <c r="L101" s="2">
        <v>5.0999999999999996</v>
      </c>
      <c r="M101" s="2">
        <v>385.21550000000002</v>
      </c>
      <c r="N101" s="3">
        <v>12.930110000000001</v>
      </c>
      <c r="O101" s="2">
        <v>9.3978000000000006E-2</v>
      </c>
      <c r="P101" s="2">
        <v>0.14547599999999999</v>
      </c>
      <c r="Q101" s="2">
        <v>18.424420000000001</v>
      </c>
      <c r="R101" s="2">
        <v>1.5931097447065654E-2</v>
      </c>
      <c r="S101" s="2">
        <v>0.13034699999999999</v>
      </c>
      <c r="T101" s="2">
        <v>0.27671400000000002</v>
      </c>
      <c r="U101" s="2">
        <v>38.774050000000003</v>
      </c>
      <c r="V101" s="2">
        <v>19.623799999999999</v>
      </c>
      <c r="W101" s="6"/>
    </row>
    <row r="102" spans="1:23" ht="15" x14ac:dyDescent="0.2">
      <c r="A102" s="1" t="s">
        <v>39</v>
      </c>
      <c r="B102" s="1" t="s">
        <v>18</v>
      </c>
      <c r="C102" s="3">
        <v>7.04</v>
      </c>
      <c r="D102" s="3">
        <v>2064</v>
      </c>
      <c r="E102" s="3">
        <v>26.84</v>
      </c>
      <c r="F102" s="3">
        <v>3.95</v>
      </c>
      <c r="G102" s="3">
        <v>1032</v>
      </c>
      <c r="H102" s="3">
        <v>484</v>
      </c>
      <c r="I102" s="3">
        <v>1.05</v>
      </c>
      <c r="J102" s="3">
        <v>71.599999999999994</v>
      </c>
      <c r="K102" s="3">
        <v>7.71</v>
      </c>
      <c r="L102" s="3">
        <v>4.7</v>
      </c>
      <c r="M102" s="2">
        <v>84.282240000000002</v>
      </c>
      <c r="N102" s="3">
        <v>51.425989999999999</v>
      </c>
      <c r="O102" s="2">
        <v>0.21121200000000001</v>
      </c>
      <c r="P102" s="2">
        <v>1.0698289999999999</v>
      </c>
      <c r="Q102" s="2">
        <v>19.29223</v>
      </c>
      <c r="R102" s="2">
        <v>4.3424999999999998E-2</v>
      </c>
      <c r="S102" s="2">
        <v>0.135104</v>
      </c>
      <c r="T102" s="2">
        <v>0.38308199999999998</v>
      </c>
      <c r="U102" s="2">
        <v>66.199889999999996</v>
      </c>
      <c r="V102" s="2">
        <v>31.079409999999999</v>
      </c>
      <c r="W102" s="6"/>
    </row>
    <row r="103" spans="1:23" ht="15" x14ac:dyDescent="0.2">
      <c r="A103" s="1" t="s">
        <v>40</v>
      </c>
      <c r="B103" s="1" t="s">
        <v>18</v>
      </c>
      <c r="C103" s="3">
        <v>6.98</v>
      </c>
      <c r="D103" s="3">
        <v>365</v>
      </c>
      <c r="E103" s="3">
        <v>26.87</v>
      </c>
      <c r="F103" s="3">
        <v>3.32</v>
      </c>
      <c r="G103" s="3">
        <v>182</v>
      </c>
      <c r="H103" s="3">
        <v>2740</v>
      </c>
      <c r="I103" s="3">
        <v>0.17</v>
      </c>
      <c r="J103" s="3">
        <v>119.2</v>
      </c>
      <c r="K103" s="3">
        <v>23.65</v>
      </c>
      <c r="L103" s="3">
        <v>6.45</v>
      </c>
      <c r="M103" s="2">
        <v>285.71679999999998</v>
      </c>
      <c r="N103" s="3">
        <v>34.665669999999999</v>
      </c>
      <c r="O103" s="2">
        <v>0.298788</v>
      </c>
      <c r="P103" s="2">
        <v>3.142802871879679E-2</v>
      </c>
      <c r="Q103" s="2">
        <v>26.650379999999998</v>
      </c>
      <c r="R103" s="2">
        <v>1.5931097447065654E-2</v>
      </c>
      <c r="S103" s="2">
        <v>0.155749</v>
      </c>
      <c r="T103" s="2">
        <v>0.543076</v>
      </c>
      <c r="U103" s="2">
        <v>30.8093</v>
      </c>
      <c r="V103" s="2">
        <v>24.807289999999998</v>
      </c>
      <c r="W103" s="6"/>
    </row>
    <row r="104" spans="1:23" ht="15" x14ac:dyDescent="0.2">
      <c r="A104" s="1" t="s">
        <v>41</v>
      </c>
      <c r="B104" s="1" t="s">
        <v>18</v>
      </c>
      <c r="C104" s="3">
        <v>6.82</v>
      </c>
      <c r="D104" s="3">
        <v>170</v>
      </c>
      <c r="E104" s="3">
        <v>25.16</v>
      </c>
      <c r="F104" s="3">
        <v>2.98</v>
      </c>
      <c r="G104" s="3">
        <v>85</v>
      </c>
      <c r="H104" s="3">
        <v>5882</v>
      </c>
      <c r="I104" s="3">
        <v>0.08</v>
      </c>
      <c r="J104" s="3">
        <v>113.3</v>
      </c>
      <c r="K104" s="3">
        <v>38.28</v>
      </c>
      <c r="L104" s="3">
        <v>7.1</v>
      </c>
      <c r="M104" s="2">
        <v>313.69099999999997</v>
      </c>
      <c r="N104" s="3">
        <v>49.207689999999999</v>
      </c>
      <c r="O104" s="2">
        <v>0.13669400000000001</v>
      </c>
      <c r="P104" s="2">
        <v>8.4222000000000005E-2</v>
      </c>
      <c r="Q104" s="2">
        <v>17.665489999999998</v>
      </c>
      <c r="R104" s="2">
        <v>3.2249E-2</v>
      </c>
      <c r="S104" s="2">
        <v>0.17497499999999999</v>
      </c>
      <c r="T104" s="2">
        <v>0.44722299999999998</v>
      </c>
      <c r="U104" s="2">
        <v>39.393450000000001</v>
      </c>
      <c r="V104" s="2">
        <v>16.034610000000001</v>
      </c>
      <c r="W104" s="6"/>
    </row>
    <row r="105" spans="1:23" ht="15" x14ac:dyDescent="0.2">
      <c r="A105" s="1" t="s">
        <v>42</v>
      </c>
      <c r="B105" s="1" t="s">
        <v>18</v>
      </c>
      <c r="C105" s="3">
        <v>7</v>
      </c>
      <c r="D105" s="3">
        <v>367</v>
      </c>
      <c r="E105" s="3">
        <v>27.59</v>
      </c>
      <c r="F105" s="3">
        <v>2.76</v>
      </c>
      <c r="G105" s="3">
        <v>184</v>
      </c>
      <c r="H105" s="3">
        <v>2725</v>
      </c>
      <c r="I105" s="3">
        <v>0.17</v>
      </c>
      <c r="J105" s="3">
        <v>108</v>
      </c>
      <c r="K105" s="3">
        <v>5.13</v>
      </c>
      <c r="L105" s="3">
        <v>7.133</v>
      </c>
      <c r="M105" s="2">
        <v>299.3075</v>
      </c>
      <c r="N105" s="3">
        <v>52.277070000000002</v>
      </c>
      <c r="O105" s="2">
        <v>0.196274</v>
      </c>
      <c r="P105" s="2">
        <v>0.16925000000000001</v>
      </c>
      <c r="Q105" s="2">
        <v>96.242009999999993</v>
      </c>
      <c r="R105" s="2">
        <v>1.5931097447065654E-2</v>
      </c>
      <c r="S105" s="2">
        <v>0.17999599999999999</v>
      </c>
      <c r="T105" s="2">
        <v>0.34301999999999999</v>
      </c>
      <c r="U105" s="2">
        <v>46.381909999999998</v>
      </c>
      <c r="V105" s="2">
        <v>35.869500000000002</v>
      </c>
      <c r="W105" s="6"/>
    </row>
    <row r="106" spans="1:23" ht="15" x14ac:dyDescent="0.2">
      <c r="A106" s="1" t="s">
        <v>43</v>
      </c>
      <c r="B106" s="1" t="s">
        <v>18</v>
      </c>
      <c r="C106" s="3">
        <v>7.37</v>
      </c>
      <c r="D106" s="3">
        <v>268</v>
      </c>
      <c r="E106" s="3">
        <v>25.59</v>
      </c>
      <c r="F106" s="3">
        <v>3.39</v>
      </c>
      <c r="G106" s="3">
        <v>134</v>
      </c>
      <c r="H106" s="3">
        <v>3731</v>
      </c>
      <c r="I106" s="3">
        <v>0.13</v>
      </c>
      <c r="J106" s="3">
        <v>160</v>
      </c>
      <c r="K106" s="3">
        <v>3.34</v>
      </c>
      <c r="L106" s="3">
        <v>6.14</v>
      </c>
      <c r="M106" s="2">
        <v>404.28710000000001</v>
      </c>
      <c r="N106" s="2">
        <v>75.357420000000005</v>
      </c>
      <c r="O106" s="2">
        <v>0.225213</v>
      </c>
      <c r="P106" s="2">
        <v>0.123441</v>
      </c>
      <c r="Q106" s="2">
        <v>64.042559999999995</v>
      </c>
      <c r="R106" s="2">
        <v>1.5931097447065654E-2</v>
      </c>
      <c r="S106" s="2">
        <v>0.18784799999999999</v>
      </c>
      <c r="T106" s="2">
        <v>0.37134899999999998</v>
      </c>
      <c r="U106" s="2">
        <v>45.350659999999998</v>
      </c>
      <c r="V106" s="2">
        <v>48.093409999999999</v>
      </c>
      <c r="W106" s="6"/>
    </row>
    <row r="107" spans="1:23" ht="15" x14ac:dyDescent="0.2">
      <c r="A107" s="1" t="s">
        <v>44</v>
      </c>
      <c r="B107" s="1" t="s">
        <v>18</v>
      </c>
      <c r="C107" s="2">
        <v>6.67</v>
      </c>
      <c r="D107" s="2">
        <v>176</v>
      </c>
      <c r="E107" s="2">
        <v>28.24</v>
      </c>
      <c r="F107" s="2">
        <v>2.21</v>
      </c>
      <c r="G107" s="2">
        <v>88</v>
      </c>
      <c r="H107" s="2">
        <v>5682</v>
      </c>
      <c r="I107" s="2">
        <v>0.08</v>
      </c>
      <c r="J107" s="2">
        <v>138.9</v>
      </c>
      <c r="K107" s="2">
        <v>43.8</v>
      </c>
      <c r="L107" s="2">
        <f t="shared" si="4"/>
        <v>9.2999999999999989</v>
      </c>
      <c r="M107" s="5">
        <v>906.89260000000002</v>
      </c>
      <c r="N107" s="5">
        <v>320.03019999999998</v>
      </c>
      <c r="O107" s="2">
        <v>0.13928299999999999</v>
      </c>
      <c r="P107" s="2">
        <v>0.45281199999999999</v>
      </c>
      <c r="Q107" s="2">
        <v>37.230460000000001</v>
      </c>
      <c r="R107" s="2">
        <v>4.0784000000000001E-2</v>
      </c>
      <c r="S107" s="2">
        <v>0.26964100000000002</v>
      </c>
      <c r="T107" s="2">
        <v>1.075116</v>
      </c>
      <c r="U107" s="2">
        <v>50.121070000000003</v>
      </c>
      <c r="V107" s="2">
        <v>24.158080000000002</v>
      </c>
      <c r="W107" s="7"/>
    </row>
    <row r="108" spans="1:23" ht="15.75" customHeight="1" x14ac:dyDescent="0.2">
      <c r="M108" s="2"/>
      <c r="N108" s="2"/>
    </row>
    <row r="109" spans="1:23" ht="15.75" customHeight="1" x14ac:dyDescent="0.2">
      <c r="A109" s="1" t="s">
        <v>14</v>
      </c>
      <c r="B109" s="1" t="s">
        <v>19</v>
      </c>
      <c r="C109" s="2">
        <v>6.63</v>
      </c>
      <c r="D109" s="2">
        <v>605</v>
      </c>
      <c r="E109" s="2">
        <v>30.26</v>
      </c>
      <c r="F109" s="2">
        <v>1.44</v>
      </c>
      <c r="G109" s="2">
        <v>303</v>
      </c>
      <c r="H109" s="2">
        <v>1653</v>
      </c>
      <c r="I109" s="2">
        <v>0.28999999999999998</v>
      </c>
      <c r="J109" s="2">
        <v>83.8</v>
      </c>
      <c r="K109" s="2">
        <v>15.6</v>
      </c>
      <c r="L109" s="2">
        <f>(0.096/10)*1000</f>
        <v>9.6000000000000014</v>
      </c>
      <c r="M109" s="2">
        <v>1684.749</v>
      </c>
      <c r="N109" s="2">
        <v>63.195349999999998</v>
      </c>
      <c r="O109" s="3">
        <v>0.43940885600000001</v>
      </c>
      <c r="P109" s="2">
        <v>2.8622857421982065E-2</v>
      </c>
      <c r="Q109" s="2">
        <v>2.9771070000000002</v>
      </c>
      <c r="R109" s="2">
        <v>4.3478999999999997E-2</v>
      </c>
      <c r="S109" s="2">
        <v>0.56881599999999999</v>
      </c>
      <c r="T109" s="3">
        <v>1.1471433280000001</v>
      </c>
      <c r="U109" s="2">
        <v>59.114420000000003</v>
      </c>
      <c r="V109" s="2">
        <v>189.49510000000001</v>
      </c>
      <c r="W109" s="4"/>
    </row>
    <row r="110" spans="1:23" ht="15.75" customHeight="1" x14ac:dyDescent="0.2">
      <c r="A110" s="1" t="s">
        <v>20</v>
      </c>
      <c r="B110" s="1" t="s">
        <v>19</v>
      </c>
      <c r="C110" s="2">
        <v>7.18</v>
      </c>
      <c r="D110" s="2">
        <v>1893</v>
      </c>
      <c r="E110" s="2">
        <v>31.73</v>
      </c>
      <c r="F110" s="2">
        <v>2.81</v>
      </c>
      <c r="G110" s="2">
        <v>946</v>
      </c>
      <c r="H110" s="2">
        <v>528</v>
      </c>
      <c r="I110" s="2">
        <v>0.95</v>
      </c>
      <c r="J110" s="2">
        <v>174.3</v>
      </c>
      <c r="K110" s="2">
        <v>8.8000000000000007</v>
      </c>
      <c r="L110" s="2">
        <f>(0.079/10)*1000</f>
        <v>7.9</v>
      </c>
      <c r="M110" s="2">
        <v>792.9665</v>
      </c>
      <c r="N110" s="2">
        <v>66.331220000000002</v>
      </c>
      <c r="O110" s="3">
        <v>0.45020499200000003</v>
      </c>
      <c r="P110" s="2">
        <v>0.28021028999999997</v>
      </c>
      <c r="Q110" s="2">
        <v>22.613150000000001</v>
      </c>
      <c r="R110" s="2">
        <v>0.20080799999999999</v>
      </c>
      <c r="S110" s="2">
        <v>0.32239200000000001</v>
      </c>
      <c r="T110" s="3">
        <v>1.1259906639999999</v>
      </c>
      <c r="U110" s="2">
        <v>39.71143</v>
      </c>
      <c r="V110" s="2">
        <v>75.130579999999995</v>
      </c>
      <c r="W110" s="4"/>
    </row>
    <row r="111" spans="1:23" ht="15.75" customHeight="1" x14ac:dyDescent="0.2">
      <c r="A111" s="1" t="s">
        <v>21</v>
      </c>
      <c r="B111" s="1" t="s">
        <v>19</v>
      </c>
      <c r="C111" s="2">
        <v>6.99</v>
      </c>
      <c r="D111" s="2">
        <v>2703</v>
      </c>
      <c r="E111" s="2">
        <v>29.74</v>
      </c>
      <c r="F111" s="2">
        <v>2.4500000000000002</v>
      </c>
      <c r="G111" s="2">
        <v>1351</v>
      </c>
      <c r="H111" s="2">
        <v>370</v>
      </c>
      <c r="I111" s="2">
        <v>1.39</v>
      </c>
      <c r="J111" s="2">
        <v>116.8</v>
      </c>
      <c r="K111" s="2">
        <v>72</v>
      </c>
      <c r="L111" s="2">
        <f>(0.058/10)*1000</f>
        <v>5.8000000000000007</v>
      </c>
      <c r="M111" s="2">
        <v>656.82299999999998</v>
      </c>
      <c r="N111" s="2">
        <v>115.37860000000001</v>
      </c>
      <c r="O111" s="3">
        <v>0.426013904</v>
      </c>
      <c r="P111" s="2">
        <v>0.90463296999999998</v>
      </c>
      <c r="Q111" s="2">
        <v>31.337230000000002</v>
      </c>
      <c r="R111" s="2">
        <v>9.6287999999999999E-2</v>
      </c>
      <c r="S111" s="2">
        <v>0.32745000000000002</v>
      </c>
      <c r="T111" s="3">
        <v>0.95856236699999997</v>
      </c>
      <c r="U111" s="2">
        <v>52.812469999999998</v>
      </c>
      <c r="V111" s="2">
        <v>95.461039999999997</v>
      </c>
      <c r="W111" s="4"/>
    </row>
    <row r="112" spans="1:23" ht="15.75" customHeight="1" x14ac:dyDescent="0.2">
      <c r="A112" s="1" t="s">
        <v>22</v>
      </c>
      <c r="B112" s="1" t="s">
        <v>19</v>
      </c>
      <c r="C112" s="2">
        <v>7</v>
      </c>
      <c r="D112" s="2">
        <v>928</v>
      </c>
      <c r="E112" s="2">
        <v>30.61</v>
      </c>
      <c r="F112" s="2">
        <v>1.32</v>
      </c>
      <c r="G112" s="2">
        <v>464</v>
      </c>
      <c r="H112" s="2">
        <v>1078</v>
      </c>
      <c r="I112" s="2">
        <v>0.45</v>
      </c>
      <c r="J112" s="2">
        <v>102.6</v>
      </c>
      <c r="K112" s="2">
        <v>28.4</v>
      </c>
      <c r="L112" s="2">
        <f>(0.072/10)*1000</f>
        <v>7.2</v>
      </c>
      <c r="M112" s="2">
        <v>1187.3330000000001</v>
      </c>
      <c r="N112" s="2">
        <v>82.831149999999994</v>
      </c>
      <c r="O112" s="3">
        <v>0.68031754</v>
      </c>
      <c r="P112" s="2">
        <v>0.32457353999999999</v>
      </c>
      <c r="Q112" s="2">
        <v>16.386220000000002</v>
      </c>
      <c r="R112" s="2">
        <v>7.9855999999999996E-2</v>
      </c>
      <c r="S112" s="2">
        <v>0.383961</v>
      </c>
      <c r="T112" s="3">
        <v>1.2992040499999999</v>
      </c>
      <c r="U112" s="2">
        <v>49.672980000000003</v>
      </c>
      <c r="V112" s="2">
        <v>84.39331</v>
      </c>
      <c r="W112" s="4"/>
    </row>
    <row r="113" spans="1:23" ht="15.75" customHeight="1" x14ac:dyDescent="0.2">
      <c r="A113" s="1" t="s">
        <v>23</v>
      </c>
      <c r="B113" s="1" t="s">
        <v>19</v>
      </c>
      <c r="C113" s="2">
        <v>6.65</v>
      </c>
      <c r="D113" s="2">
        <v>669</v>
      </c>
      <c r="E113" s="2">
        <v>28.87</v>
      </c>
      <c r="F113" s="2">
        <v>2.33</v>
      </c>
      <c r="G113" s="2">
        <v>335</v>
      </c>
      <c r="H113" s="2">
        <v>1495</v>
      </c>
      <c r="I113" s="2">
        <v>0.32</v>
      </c>
      <c r="J113" s="2">
        <v>71.2</v>
      </c>
      <c r="K113" s="2">
        <v>85.6</v>
      </c>
      <c r="L113" s="2">
        <f>(0.095/10)*1000</f>
        <v>9.5</v>
      </c>
      <c r="M113" s="2">
        <v>1128.5540000000001</v>
      </c>
      <c r="N113" s="2">
        <v>170.00800000000001</v>
      </c>
      <c r="O113" s="3">
        <v>0.39945219100000001</v>
      </c>
      <c r="P113" s="2">
        <v>1.7903971700000001</v>
      </c>
      <c r="Q113" s="2">
        <v>15.942909999999999</v>
      </c>
      <c r="R113" s="2">
        <v>0.110596</v>
      </c>
      <c r="S113" s="2">
        <v>0.43296600000000002</v>
      </c>
      <c r="T113" s="3">
        <v>1.459163609</v>
      </c>
      <c r="U113" s="2">
        <v>47.617820000000002</v>
      </c>
      <c r="V113" s="2">
        <v>62.148479999999999</v>
      </c>
      <c r="W113" s="4"/>
    </row>
    <row r="114" spans="1:23" ht="15" x14ac:dyDescent="0.2">
      <c r="A114" s="1" t="s">
        <v>24</v>
      </c>
      <c r="B114" s="1" t="s">
        <v>19</v>
      </c>
      <c r="C114" s="2">
        <v>6.67</v>
      </c>
      <c r="D114" s="2">
        <v>198</v>
      </c>
      <c r="E114" s="2">
        <v>27.18</v>
      </c>
      <c r="F114" s="2">
        <v>2.59</v>
      </c>
      <c r="G114" s="2">
        <v>99</v>
      </c>
      <c r="H114" s="2">
        <v>5051</v>
      </c>
      <c r="I114" s="2">
        <v>0.09</v>
      </c>
      <c r="J114" s="2">
        <v>115.7</v>
      </c>
      <c r="K114" s="2">
        <v>69</v>
      </c>
      <c r="L114" s="2">
        <f>(0.093/10)*1000</f>
        <v>9.2999999999999989</v>
      </c>
      <c r="M114" s="2">
        <v>1333.5909999999999</v>
      </c>
      <c r="N114" s="2">
        <v>258.51560000000001</v>
      </c>
      <c r="O114" s="3">
        <v>0.23816965400000001</v>
      </c>
      <c r="P114" s="2">
        <v>8.9944590000000005E-2</v>
      </c>
      <c r="Q114" s="2">
        <v>2.8377680000000001</v>
      </c>
      <c r="R114" s="2">
        <v>3.8020999999999999E-2</v>
      </c>
      <c r="S114" s="2">
        <v>0.36515999999999998</v>
      </c>
      <c r="T114" s="3">
        <v>1.089438771</v>
      </c>
      <c r="U114" s="2">
        <v>52.932119999999998</v>
      </c>
      <c r="V114" s="2">
        <v>38.476170000000003</v>
      </c>
      <c r="W114" s="4"/>
    </row>
    <row r="115" spans="1:23" ht="15" x14ac:dyDescent="0.2">
      <c r="A115" s="1" t="s">
        <v>25</v>
      </c>
      <c r="B115" s="1" t="s">
        <v>19</v>
      </c>
      <c r="C115" s="2">
        <v>6.49</v>
      </c>
      <c r="D115" s="2">
        <v>241</v>
      </c>
      <c r="E115" s="2">
        <v>27.95</v>
      </c>
      <c r="F115" s="2">
        <v>2.0099999999999998</v>
      </c>
      <c r="G115" s="2">
        <v>121</v>
      </c>
      <c r="H115" s="2">
        <v>4149</v>
      </c>
      <c r="I115" s="2">
        <v>0.11</v>
      </c>
      <c r="J115" s="2">
        <v>90.8</v>
      </c>
      <c r="K115" s="2">
        <v>18.600000000000001</v>
      </c>
      <c r="L115" s="2">
        <f>(0.083/10)*1000</f>
        <v>8.3000000000000007</v>
      </c>
      <c r="M115" s="2">
        <v>1056.136</v>
      </c>
      <c r="N115" s="2">
        <v>136.66309999999999</v>
      </c>
      <c r="O115" s="3">
        <v>0.29382091599999999</v>
      </c>
      <c r="P115" s="2">
        <v>0.20059688000000001</v>
      </c>
      <c r="Q115" s="2">
        <v>5.7740460000000002</v>
      </c>
      <c r="R115" s="2">
        <v>3.5026000000000002E-2</v>
      </c>
      <c r="S115" s="2">
        <v>0.40793699999999999</v>
      </c>
      <c r="T115" s="3">
        <v>1.0655375579999999</v>
      </c>
      <c r="U115" s="2">
        <v>49.009990000000002</v>
      </c>
      <c r="V115" s="2">
        <v>62.028080000000003</v>
      </c>
      <c r="W115" s="6"/>
    </row>
    <row r="116" spans="1:23" ht="15" x14ac:dyDescent="0.2">
      <c r="A116" s="1" t="s">
        <v>26</v>
      </c>
      <c r="B116" s="1" t="s">
        <v>19</v>
      </c>
      <c r="C116" s="2">
        <v>6.41</v>
      </c>
      <c r="D116" s="2">
        <v>304</v>
      </c>
      <c r="E116" s="2">
        <v>28.74</v>
      </c>
      <c r="F116" s="2">
        <v>2.16</v>
      </c>
      <c r="G116" s="2">
        <v>152</v>
      </c>
      <c r="H116" s="2">
        <v>3289</v>
      </c>
      <c r="I116" s="2">
        <v>0.14000000000000001</v>
      </c>
      <c r="J116" s="2">
        <v>117.5</v>
      </c>
      <c r="K116" s="2">
        <v>1.2</v>
      </c>
      <c r="L116" s="2">
        <f>(0.077/10)*1000</f>
        <v>7.7</v>
      </c>
      <c r="M116" s="2">
        <v>1215.759</v>
      </c>
      <c r="N116" s="2">
        <v>83.063059999999993</v>
      </c>
      <c r="O116" s="3">
        <v>0.36596724899999999</v>
      </c>
      <c r="P116" s="2">
        <v>0.14423502999999999</v>
      </c>
      <c r="Q116" s="2">
        <v>20.391200000000001</v>
      </c>
      <c r="R116" s="2">
        <v>3.1895E-2</v>
      </c>
      <c r="S116" s="2">
        <v>0.49312</v>
      </c>
      <c r="T116" s="3">
        <v>0.88075406199999995</v>
      </c>
      <c r="U116" s="2">
        <v>52.301600000000001</v>
      </c>
      <c r="V116" s="2">
        <v>125.04170000000001</v>
      </c>
      <c r="W116" s="7"/>
    </row>
    <row r="117" spans="1:23" ht="15" x14ac:dyDescent="0.2">
      <c r="A117" s="1" t="s">
        <v>27</v>
      </c>
      <c r="B117" s="1" t="s">
        <v>19</v>
      </c>
      <c r="C117" s="2">
        <v>6.53</v>
      </c>
      <c r="D117" s="2">
        <v>565</v>
      </c>
      <c r="E117" s="2">
        <v>29.72</v>
      </c>
      <c r="F117" s="2">
        <v>2.38</v>
      </c>
      <c r="G117" s="2">
        <v>282</v>
      </c>
      <c r="H117" s="2">
        <v>1770</v>
      </c>
      <c r="I117" s="2">
        <v>0.27</v>
      </c>
      <c r="J117" s="2">
        <v>59.8</v>
      </c>
      <c r="K117" s="2">
        <v>11.6</v>
      </c>
      <c r="L117" s="2">
        <f>(0.073/10)*1000</f>
        <v>7.2999999999999989</v>
      </c>
      <c r="M117" s="2">
        <v>1150.8620000000001</v>
      </c>
      <c r="N117" s="2">
        <v>70.768299999999996</v>
      </c>
      <c r="O117" s="3">
        <v>0.34002397299999998</v>
      </c>
      <c r="P117" s="2">
        <v>0.90496531999999996</v>
      </c>
      <c r="Q117" s="2">
        <v>20.47852</v>
      </c>
      <c r="R117" s="2">
        <v>1.3654575623012165E-2</v>
      </c>
      <c r="S117" s="2">
        <v>0.395289</v>
      </c>
      <c r="T117" s="3">
        <v>0.91203307499999997</v>
      </c>
      <c r="U117" s="2">
        <v>53.378579999999999</v>
      </c>
      <c r="V117" s="2">
        <v>90.780600000000007</v>
      </c>
      <c r="W117" s="6"/>
    </row>
    <row r="118" spans="1:23" ht="15" x14ac:dyDescent="0.2">
      <c r="A118" s="1" t="s">
        <v>28</v>
      </c>
      <c r="B118" s="1" t="s">
        <v>19</v>
      </c>
      <c r="C118" s="2">
        <v>6.83</v>
      </c>
      <c r="D118" s="2">
        <v>11430</v>
      </c>
      <c r="E118" s="2">
        <v>29.19</v>
      </c>
      <c r="F118" s="2">
        <v>3.63</v>
      </c>
      <c r="G118" s="2">
        <v>5716</v>
      </c>
      <c r="H118" s="2">
        <v>87</v>
      </c>
      <c r="I118" s="2">
        <v>6.46</v>
      </c>
      <c r="J118" s="2">
        <v>52.6</v>
      </c>
      <c r="K118" s="2">
        <v>32.4</v>
      </c>
      <c r="L118" s="2">
        <v>5</v>
      </c>
      <c r="M118" s="2">
        <v>409.85050000000001</v>
      </c>
      <c r="N118" s="2">
        <v>26.111550000000001</v>
      </c>
      <c r="O118" s="3">
        <v>0.42650327799999999</v>
      </c>
      <c r="P118" s="2">
        <v>0.42494465999999997</v>
      </c>
      <c r="Q118" s="2">
        <v>43.052079999999997</v>
      </c>
      <c r="R118" s="2">
        <v>7.8108999999999998E-2</v>
      </c>
      <c r="S118" s="2">
        <v>0.52168099999999995</v>
      </c>
      <c r="T118" s="3">
        <v>0.87092126599999997</v>
      </c>
      <c r="U118" s="2">
        <v>127.6328</v>
      </c>
      <c r="V118" s="2">
        <v>128.36760000000001</v>
      </c>
      <c r="W118" s="6"/>
    </row>
    <row r="119" spans="1:23" ht="15" x14ac:dyDescent="0.2">
      <c r="A119" s="1" t="s">
        <v>29</v>
      </c>
      <c r="B119" s="1" t="s">
        <v>19</v>
      </c>
      <c r="C119" s="2">
        <v>7.07</v>
      </c>
      <c r="D119" s="2">
        <v>12710</v>
      </c>
      <c r="E119" s="2">
        <v>30.16</v>
      </c>
      <c r="F119" s="2">
        <v>5.51</v>
      </c>
      <c r="G119" s="2">
        <v>6356</v>
      </c>
      <c r="H119" s="2">
        <v>79</v>
      </c>
      <c r="I119" s="2">
        <v>7.24</v>
      </c>
      <c r="J119" s="2">
        <v>58.8</v>
      </c>
      <c r="K119" s="2">
        <v>23.4</v>
      </c>
      <c r="L119" s="2">
        <v>5.0999999999999996</v>
      </c>
      <c r="M119" s="2">
        <v>378.79640000000001</v>
      </c>
      <c r="N119" s="2">
        <v>72.065569999999994</v>
      </c>
      <c r="O119" s="3">
        <v>0.75121307000000004</v>
      </c>
      <c r="P119" s="2">
        <v>1.0163910700000001</v>
      </c>
      <c r="Q119" s="2">
        <v>80.077179999999998</v>
      </c>
      <c r="R119" s="2">
        <v>0.17280000000000001</v>
      </c>
      <c r="S119" s="2">
        <v>0.46160800000000002</v>
      </c>
      <c r="T119" s="3">
        <v>0.77665847600000004</v>
      </c>
      <c r="U119" s="2">
        <v>103.9866</v>
      </c>
      <c r="V119" s="2">
        <v>113.61150000000001</v>
      </c>
      <c r="W119" s="8"/>
    </row>
    <row r="120" spans="1:23" ht="15" x14ac:dyDescent="0.2">
      <c r="A120" s="1" t="s">
        <v>30</v>
      </c>
      <c r="B120" s="1" t="s">
        <v>19</v>
      </c>
      <c r="C120" s="2">
        <v>6.69</v>
      </c>
      <c r="D120" s="2">
        <v>3944</v>
      </c>
      <c r="E120" s="2">
        <v>27.28</v>
      </c>
      <c r="F120" s="2">
        <v>1.86</v>
      </c>
      <c r="G120" s="2">
        <v>1972</v>
      </c>
      <c r="H120" s="2">
        <v>254</v>
      </c>
      <c r="I120" s="2">
        <v>2.08</v>
      </c>
      <c r="J120" s="2">
        <v>52.6</v>
      </c>
      <c r="K120" s="2">
        <v>40.6</v>
      </c>
      <c r="L120" s="2">
        <v>6.3</v>
      </c>
      <c r="M120" s="2">
        <v>427.45100000000002</v>
      </c>
      <c r="N120" s="3">
        <v>10.58624</v>
      </c>
      <c r="O120" s="3">
        <v>0.27118915900000001</v>
      </c>
      <c r="P120" s="2">
        <v>0.11480039</v>
      </c>
      <c r="Q120" s="2">
        <v>7.3767389999999997</v>
      </c>
      <c r="R120" s="2">
        <v>1.3654575623012165E-2</v>
      </c>
      <c r="S120" s="2">
        <v>0.26767299999999999</v>
      </c>
      <c r="T120" s="3">
        <v>0.68012661900000004</v>
      </c>
      <c r="U120" s="2">
        <v>62.979610000000001</v>
      </c>
      <c r="V120" s="2">
        <v>63.2318</v>
      </c>
      <c r="W120" s="6"/>
    </row>
    <row r="121" spans="1:23" ht="15" x14ac:dyDescent="0.2">
      <c r="A121" s="1" t="s">
        <v>31</v>
      </c>
      <c r="B121" s="1" t="s">
        <v>19</v>
      </c>
      <c r="C121" s="2">
        <v>6.8</v>
      </c>
      <c r="D121" s="2">
        <v>316</v>
      </c>
      <c r="E121" s="2">
        <v>26.94</v>
      </c>
      <c r="F121" s="2">
        <v>2.64</v>
      </c>
      <c r="G121" s="2">
        <v>158</v>
      </c>
      <c r="H121" s="2">
        <v>3165</v>
      </c>
      <c r="I121" s="2">
        <v>0.15</v>
      </c>
      <c r="J121" s="2">
        <v>35.799999999999997</v>
      </c>
      <c r="K121" s="2">
        <v>16</v>
      </c>
      <c r="L121" s="2">
        <v>6</v>
      </c>
      <c r="M121" s="2">
        <v>505.14859999999999</v>
      </c>
      <c r="N121" s="3">
        <v>62.229370000000003</v>
      </c>
      <c r="O121" s="2">
        <v>0.21925</v>
      </c>
      <c r="P121" s="2">
        <v>0.16147700000000001</v>
      </c>
      <c r="Q121" s="2">
        <v>3.6396899999999999</v>
      </c>
      <c r="R121" s="2">
        <v>0.19675300000000001</v>
      </c>
      <c r="S121" s="2">
        <v>0.15084900000000001</v>
      </c>
      <c r="T121" s="2">
        <v>0.50841099999999995</v>
      </c>
      <c r="U121" s="2">
        <v>36.713169999999998</v>
      </c>
      <c r="V121" s="2">
        <v>22.97898</v>
      </c>
      <c r="W121" s="6"/>
    </row>
    <row r="122" spans="1:23" ht="15" x14ac:dyDescent="0.2">
      <c r="A122" s="1" t="s">
        <v>32</v>
      </c>
      <c r="B122" s="1" t="s">
        <v>19</v>
      </c>
      <c r="C122" s="2">
        <v>6.46</v>
      </c>
      <c r="D122" s="2">
        <v>493</v>
      </c>
      <c r="E122" s="2">
        <v>25.73</v>
      </c>
      <c r="F122" s="2">
        <v>2.76</v>
      </c>
      <c r="G122" s="2">
        <v>246</v>
      </c>
      <c r="H122" s="2">
        <v>2028</v>
      </c>
      <c r="I122" s="2">
        <v>0.24</v>
      </c>
      <c r="J122" s="2">
        <v>81.2</v>
      </c>
      <c r="K122" s="2">
        <v>39.799999999999997</v>
      </c>
      <c r="L122" s="2">
        <v>4.8</v>
      </c>
      <c r="M122" s="2">
        <v>693.6386</v>
      </c>
      <c r="N122" s="3">
        <v>97.015029999999996</v>
      </c>
      <c r="O122" s="2">
        <v>0.380131</v>
      </c>
      <c r="P122" s="2">
        <v>6.5103999999999995E-2</v>
      </c>
      <c r="Q122" s="2">
        <v>1.4311700000000001</v>
      </c>
      <c r="R122" s="2">
        <v>0.118492</v>
      </c>
      <c r="S122" s="2">
        <v>0.244612</v>
      </c>
      <c r="T122" s="2">
        <v>0.86846999999999996</v>
      </c>
      <c r="U122" s="2">
        <v>38.084150000000001</v>
      </c>
      <c r="V122" s="2">
        <v>38.93206</v>
      </c>
      <c r="W122" s="6"/>
    </row>
    <row r="123" spans="1:23" ht="15" x14ac:dyDescent="0.2">
      <c r="A123" s="1" t="s">
        <v>33</v>
      </c>
      <c r="B123" s="1" t="s">
        <v>19</v>
      </c>
      <c r="C123" s="2">
        <v>6.7</v>
      </c>
      <c r="D123" s="2">
        <v>453</v>
      </c>
      <c r="E123" s="2">
        <v>27.17</v>
      </c>
      <c r="F123" s="2">
        <v>2.42</v>
      </c>
      <c r="G123" s="2">
        <v>226</v>
      </c>
      <c r="H123" s="2">
        <v>2208</v>
      </c>
      <c r="I123" s="2">
        <v>0.22</v>
      </c>
      <c r="J123" s="2">
        <v>63.2</v>
      </c>
      <c r="K123" s="2">
        <v>60.4</v>
      </c>
      <c r="L123" s="2">
        <v>7.2</v>
      </c>
      <c r="M123" s="2">
        <v>1100</v>
      </c>
      <c r="N123" s="3">
        <v>9</v>
      </c>
      <c r="O123" s="2">
        <v>0.297786991</v>
      </c>
      <c r="P123" s="2">
        <v>0.14930225999999999</v>
      </c>
      <c r="Q123" s="2">
        <v>8.6967639999999999</v>
      </c>
      <c r="R123" s="2">
        <v>0.135711</v>
      </c>
      <c r="S123" s="2">
        <v>0.30276500000000001</v>
      </c>
      <c r="T123" s="2">
        <v>0.95251799999999998</v>
      </c>
      <c r="U123" s="2">
        <v>48.216920000000002</v>
      </c>
      <c r="V123" s="2">
        <v>46.353299999999997</v>
      </c>
      <c r="W123" s="6"/>
    </row>
    <row r="124" spans="1:23" ht="15" x14ac:dyDescent="0.2">
      <c r="A124" s="1" t="s">
        <v>34</v>
      </c>
      <c r="B124" s="1" t="s">
        <v>19</v>
      </c>
      <c r="C124" s="2">
        <v>6.2</v>
      </c>
      <c r="D124" s="2">
        <v>173</v>
      </c>
      <c r="E124" s="2">
        <v>25.98</v>
      </c>
      <c r="F124" s="2">
        <v>5.5</v>
      </c>
      <c r="G124" s="2">
        <v>86</v>
      </c>
      <c r="H124" s="2">
        <v>5780</v>
      </c>
      <c r="I124" s="2">
        <v>0.08</v>
      </c>
      <c r="J124" s="2">
        <v>150.6</v>
      </c>
      <c r="K124" s="2">
        <v>73.599999999999994</v>
      </c>
      <c r="L124" s="2">
        <v>7.9</v>
      </c>
      <c r="M124" s="2">
        <v>529.46879999999999</v>
      </c>
      <c r="N124" s="3">
        <v>14.66004</v>
      </c>
      <c r="O124" s="2">
        <v>0.14190900000000001</v>
      </c>
      <c r="P124" s="2">
        <v>0.161916</v>
      </c>
      <c r="Q124" s="2">
        <v>8.3399249999999991</v>
      </c>
      <c r="R124" s="2">
        <v>6.4543000000000003E-2</v>
      </c>
      <c r="S124" s="2">
        <v>0.13420000000000001</v>
      </c>
      <c r="T124" s="2">
        <v>0.505278</v>
      </c>
      <c r="U124" s="2">
        <v>48.263039999999997</v>
      </c>
      <c r="V124" s="2">
        <v>9.6040050000000008</v>
      </c>
      <c r="W124" s="6"/>
    </row>
    <row r="125" spans="1:23" ht="15" x14ac:dyDescent="0.2">
      <c r="A125" s="1" t="s">
        <v>35</v>
      </c>
      <c r="B125" s="1" t="s">
        <v>19</v>
      </c>
      <c r="C125" s="2">
        <v>6.51</v>
      </c>
      <c r="D125" s="2">
        <v>354</v>
      </c>
      <c r="E125" s="2">
        <v>24.98</v>
      </c>
      <c r="F125" s="2">
        <v>2.35</v>
      </c>
      <c r="G125" s="2">
        <v>177</v>
      </c>
      <c r="H125" s="2">
        <v>2825</v>
      </c>
      <c r="I125" s="2">
        <v>0.17</v>
      </c>
      <c r="J125" s="2">
        <v>87.3</v>
      </c>
      <c r="K125" s="2">
        <v>13.2</v>
      </c>
      <c r="L125" s="2">
        <v>6.1</v>
      </c>
      <c r="M125" s="2">
        <v>417.85559999999998</v>
      </c>
      <c r="N125" s="3">
        <v>3.629343</v>
      </c>
      <c r="O125" s="2">
        <v>0.30345800000000001</v>
      </c>
      <c r="P125" s="2">
        <v>0.38963799999999998</v>
      </c>
      <c r="Q125" s="2">
        <v>13.85332</v>
      </c>
      <c r="R125" s="2">
        <v>4.3089000000000002E-2</v>
      </c>
      <c r="S125" s="2">
        <v>0.22733100000000001</v>
      </c>
      <c r="T125" s="2">
        <v>0.45593099999999998</v>
      </c>
      <c r="U125" s="2">
        <v>43.979349999999997</v>
      </c>
      <c r="V125" s="2">
        <v>33.34384</v>
      </c>
      <c r="W125" s="6"/>
    </row>
    <row r="126" spans="1:23" ht="15" x14ac:dyDescent="0.2">
      <c r="A126" s="1" t="s">
        <v>36</v>
      </c>
      <c r="B126" s="1" t="s">
        <v>19</v>
      </c>
      <c r="C126" s="2">
        <v>6.52</v>
      </c>
      <c r="D126" s="2">
        <v>389</v>
      </c>
      <c r="E126" s="2">
        <v>24.03</v>
      </c>
      <c r="F126" s="2">
        <v>2.63</v>
      </c>
      <c r="G126" s="2">
        <v>194</v>
      </c>
      <c r="H126" s="2">
        <v>2571</v>
      </c>
      <c r="I126" s="2">
        <v>0.19</v>
      </c>
      <c r="J126" s="2">
        <v>92.1</v>
      </c>
      <c r="K126" s="2">
        <v>0.8</v>
      </c>
      <c r="L126" s="2">
        <v>6.3</v>
      </c>
      <c r="M126" s="2">
        <v>591.41869999999994</v>
      </c>
      <c r="N126" s="3">
        <v>63.464939999999999</v>
      </c>
      <c r="O126" s="2">
        <v>0.33255800000000002</v>
      </c>
      <c r="P126" s="2">
        <v>0.24643999999999999</v>
      </c>
      <c r="Q126" s="2">
        <v>10.87955</v>
      </c>
      <c r="R126" s="2">
        <v>4.4941000000000002E-2</v>
      </c>
      <c r="S126" s="2">
        <v>0.25564999999999999</v>
      </c>
      <c r="T126" s="2">
        <v>0.55537400000000003</v>
      </c>
      <c r="U126" s="2">
        <v>38.792940000000002</v>
      </c>
      <c r="V126" s="2">
        <v>51.353380000000001</v>
      </c>
      <c r="W126" s="6"/>
    </row>
    <row r="127" spans="1:23" ht="15" x14ac:dyDescent="0.2">
      <c r="A127" s="1" t="s">
        <v>37</v>
      </c>
      <c r="B127" s="1" t="s">
        <v>19</v>
      </c>
      <c r="C127" s="2">
        <v>6.78</v>
      </c>
      <c r="D127" s="2">
        <v>1022</v>
      </c>
      <c r="E127" s="2">
        <v>25.31</v>
      </c>
      <c r="F127" s="2">
        <v>2.33</v>
      </c>
      <c r="G127" s="2">
        <v>511</v>
      </c>
      <c r="H127" s="2">
        <v>978</v>
      </c>
      <c r="I127" s="2">
        <v>0.5</v>
      </c>
      <c r="J127" s="2">
        <v>79.5</v>
      </c>
      <c r="K127" s="2">
        <v>16.2</v>
      </c>
      <c r="L127" s="2">
        <v>1.2</v>
      </c>
      <c r="M127" s="2">
        <v>417.15969999999999</v>
      </c>
      <c r="N127" s="3">
        <v>53.280970000000003</v>
      </c>
      <c r="O127" s="2">
        <v>0.280449</v>
      </c>
      <c r="P127" s="2">
        <v>0.281723</v>
      </c>
      <c r="Q127" s="2">
        <v>21.094729999999998</v>
      </c>
      <c r="R127" s="2">
        <v>3.6082999999999997E-2</v>
      </c>
      <c r="S127" s="2">
        <v>0.17601700000000001</v>
      </c>
      <c r="T127" s="2">
        <v>0.58621699999999999</v>
      </c>
      <c r="U127" s="2">
        <v>39.303370000000001</v>
      </c>
      <c r="V127" s="2">
        <v>35.843220000000002</v>
      </c>
      <c r="W127" s="6"/>
    </row>
    <row r="128" spans="1:23" ht="15" x14ac:dyDescent="0.2">
      <c r="A128" s="1" t="s">
        <v>38</v>
      </c>
      <c r="B128" s="1" t="s">
        <v>19</v>
      </c>
      <c r="C128" s="2">
        <v>6.56</v>
      </c>
      <c r="D128" s="2">
        <v>321</v>
      </c>
      <c r="E128" s="2">
        <v>23.95</v>
      </c>
      <c r="F128" s="2">
        <v>2.81</v>
      </c>
      <c r="G128" s="2">
        <v>160</v>
      </c>
      <c r="H128" s="2">
        <v>3115</v>
      </c>
      <c r="I128" s="2">
        <v>0.15</v>
      </c>
      <c r="J128" s="2">
        <v>77.2</v>
      </c>
      <c r="K128" s="2">
        <v>14.4</v>
      </c>
      <c r="L128" s="2">
        <v>5.2</v>
      </c>
      <c r="M128" s="2">
        <v>448.58819999999997</v>
      </c>
      <c r="N128" s="3">
        <v>44.132179999999998</v>
      </c>
      <c r="O128" s="2">
        <v>0.22620199999999999</v>
      </c>
      <c r="P128" s="2">
        <v>0.104772</v>
      </c>
      <c r="Q128" s="2">
        <v>10.35332</v>
      </c>
      <c r="R128" s="2">
        <v>1.5931097447065654E-2</v>
      </c>
      <c r="S128" s="2">
        <v>0.15209700000000001</v>
      </c>
      <c r="T128" s="2">
        <v>0.33729500000000001</v>
      </c>
      <c r="U128" s="2">
        <v>39.781799999999997</v>
      </c>
      <c r="V128" s="2">
        <v>26.686499999999999</v>
      </c>
      <c r="W128" s="6"/>
    </row>
    <row r="129" spans="1:23" ht="15" x14ac:dyDescent="0.2">
      <c r="A129" s="1" t="s">
        <v>39</v>
      </c>
      <c r="B129" s="1" t="s">
        <v>19</v>
      </c>
      <c r="C129" s="3">
        <v>7.01</v>
      </c>
      <c r="D129" s="3">
        <v>9672</v>
      </c>
      <c r="E129" s="3">
        <v>26.13</v>
      </c>
      <c r="F129" s="3">
        <v>4.53</v>
      </c>
      <c r="G129" s="3">
        <v>4836</v>
      </c>
      <c r="H129" s="3">
        <v>103</v>
      </c>
      <c r="I129" s="3">
        <v>5.42</v>
      </c>
      <c r="J129" s="3">
        <v>59.6</v>
      </c>
      <c r="K129" s="3">
        <v>7.71</v>
      </c>
      <c r="L129" s="3">
        <v>4.96</v>
      </c>
      <c r="M129" s="2">
        <v>48.605240000000002</v>
      </c>
      <c r="N129" s="3">
        <v>57.717289999999998</v>
      </c>
      <c r="O129" s="2">
        <v>0.56831100000000001</v>
      </c>
      <c r="P129" s="2">
        <v>1.237306</v>
      </c>
      <c r="Q129" s="2">
        <v>14.159649999999999</v>
      </c>
      <c r="R129" s="2">
        <v>1.5931097447065654E-2</v>
      </c>
      <c r="S129" s="2">
        <v>0.17629700000000001</v>
      </c>
      <c r="T129" s="2">
        <v>0.58315899999999998</v>
      </c>
      <c r="U129" s="2">
        <v>99.317769999999996</v>
      </c>
      <c r="V129" s="2">
        <v>62.618139999999997</v>
      </c>
      <c r="W129" s="7"/>
    </row>
    <row r="130" spans="1:23" ht="15" x14ac:dyDescent="0.2">
      <c r="A130" s="1" t="s">
        <v>40</v>
      </c>
      <c r="B130" s="1" t="s">
        <v>19</v>
      </c>
      <c r="C130" s="3">
        <v>6.92</v>
      </c>
      <c r="D130" s="3">
        <v>573</v>
      </c>
      <c r="E130" s="3">
        <v>26.99</v>
      </c>
      <c r="F130" s="3">
        <v>3.1</v>
      </c>
      <c r="G130" s="3">
        <v>287</v>
      </c>
      <c r="H130" s="3">
        <v>1745</v>
      </c>
      <c r="I130" s="3">
        <v>0.28000000000000003</v>
      </c>
      <c r="J130" s="3">
        <v>65.7</v>
      </c>
      <c r="K130" s="3">
        <v>23.65</v>
      </c>
      <c r="L130" s="3">
        <v>6.5</v>
      </c>
      <c r="M130" s="2">
        <v>446.88369999999998</v>
      </c>
      <c r="N130" s="3">
        <v>34.088059999999999</v>
      </c>
      <c r="O130" s="2">
        <v>0.53820999999999997</v>
      </c>
      <c r="P130" s="2">
        <v>3.142802871879679E-2</v>
      </c>
      <c r="Q130" s="2">
        <v>9.1681629999999998</v>
      </c>
      <c r="R130" s="2">
        <v>1.5931097447065654E-2</v>
      </c>
      <c r="S130" s="2">
        <v>0.14155499999999999</v>
      </c>
      <c r="T130" s="2">
        <v>0.73552300000000004</v>
      </c>
      <c r="U130" s="2">
        <v>31.696090000000002</v>
      </c>
      <c r="V130" s="2">
        <v>35.439630000000001</v>
      </c>
      <c r="W130" s="6"/>
    </row>
    <row r="131" spans="1:23" ht="15" x14ac:dyDescent="0.2">
      <c r="A131" s="1" t="s">
        <v>41</v>
      </c>
      <c r="B131" s="1" t="s">
        <v>19</v>
      </c>
      <c r="C131" s="3">
        <v>6.66</v>
      </c>
      <c r="D131" s="3">
        <v>776</v>
      </c>
      <c r="E131" s="3">
        <v>24.58</v>
      </c>
      <c r="F131" s="3">
        <v>3.1</v>
      </c>
      <c r="G131" s="3">
        <v>388</v>
      </c>
      <c r="H131" s="3">
        <v>1289</v>
      </c>
      <c r="I131" s="3">
        <v>0.38</v>
      </c>
      <c r="J131" s="3">
        <v>77.7</v>
      </c>
      <c r="K131" s="3">
        <v>38.28</v>
      </c>
      <c r="L131" s="3">
        <v>6.9</v>
      </c>
      <c r="M131" s="2">
        <v>468.60750000000002</v>
      </c>
      <c r="N131" s="3">
        <v>56.171799999999998</v>
      </c>
      <c r="O131" s="2">
        <v>0.37878000000000001</v>
      </c>
      <c r="P131" s="2">
        <v>0.140156</v>
      </c>
      <c r="Q131" s="2">
        <v>21.498449999999998</v>
      </c>
      <c r="R131" s="2">
        <v>3.5115E-2</v>
      </c>
      <c r="S131" s="2">
        <v>0.18817999999999999</v>
      </c>
      <c r="T131" s="2">
        <v>0.670373</v>
      </c>
      <c r="U131" s="2">
        <v>37.324890000000003</v>
      </c>
      <c r="V131" s="2">
        <v>30.902760000000001</v>
      </c>
      <c r="W131" s="6"/>
    </row>
    <row r="132" spans="1:23" ht="15" x14ac:dyDescent="0.2">
      <c r="A132" s="1" t="s">
        <v>42</v>
      </c>
      <c r="B132" s="1" t="s">
        <v>19</v>
      </c>
      <c r="C132" s="3">
        <v>6.74</v>
      </c>
      <c r="D132" s="3">
        <v>1675</v>
      </c>
      <c r="E132" s="3">
        <v>26.93</v>
      </c>
      <c r="F132" s="3">
        <v>3.21</v>
      </c>
      <c r="G132" s="3">
        <v>837</v>
      </c>
      <c r="H132" s="3">
        <v>597</v>
      </c>
      <c r="I132" s="3">
        <v>0.84</v>
      </c>
      <c r="J132" s="3">
        <v>56.9</v>
      </c>
      <c r="K132" s="3">
        <v>5.13</v>
      </c>
      <c r="L132" s="3">
        <v>7.133</v>
      </c>
      <c r="M132" s="2">
        <v>369.96690000000001</v>
      </c>
      <c r="N132" s="3">
        <v>56.613030000000002</v>
      </c>
      <c r="O132" s="2">
        <v>0.59173200000000004</v>
      </c>
      <c r="P132" s="2">
        <v>0.27670499999999998</v>
      </c>
      <c r="Q132" s="2">
        <v>82.690569999999994</v>
      </c>
      <c r="R132" s="2">
        <v>1.5931097447065654E-2</v>
      </c>
      <c r="S132" s="2">
        <v>0.211448</v>
      </c>
      <c r="T132" s="2">
        <v>0.49390400000000001</v>
      </c>
      <c r="U132" s="2">
        <v>52.483809999999998</v>
      </c>
      <c r="V132" s="2">
        <v>56.590879999999999</v>
      </c>
      <c r="W132" s="6"/>
    </row>
    <row r="133" spans="1:23" ht="15" x14ac:dyDescent="0.2">
      <c r="A133" s="1" t="s">
        <v>43</v>
      </c>
      <c r="B133" s="1" t="s">
        <v>19</v>
      </c>
      <c r="C133" s="3">
        <v>7.16</v>
      </c>
      <c r="D133" s="3">
        <v>836</v>
      </c>
      <c r="E133" s="3">
        <v>25.73</v>
      </c>
      <c r="F133" s="3">
        <v>3.8</v>
      </c>
      <c r="G133" s="3">
        <v>418</v>
      </c>
      <c r="H133" s="3">
        <v>1196</v>
      </c>
      <c r="I133" s="3">
        <v>0.41</v>
      </c>
      <c r="J133" s="3">
        <v>144.19999999999999</v>
      </c>
      <c r="K133" s="3">
        <v>3.34</v>
      </c>
      <c r="L133" s="3">
        <v>6.5</v>
      </c>
      <c r="M133" s="2">
        <v>422.7312</v>
      </c>
      <c r="N133" s="2">
        <v>18.515270000000001</v>
      </c>
      <c r="O133" s="2">
        <v>0.70697399999999999</v>
      </c>
      <c r="P133" s="2">
        <v>0.10309500000000001</v>
      </c>
      <c r="Q133" s="2">
        <v>54.253639999999997</v>
      </c>
      <c r="R133" s="2">
        <v>1.5931097447065654E-2</v>
      </c>
      <c r="S133" s="2">
        <v>0.17422199999999999</v>
      </c>
      <c r="T133" s="2">
        <v>0.851468</v>
      </c>
      <c r="U133" s="2">
        <v>37.112229999999997</v>
      </c>
      <c r="V133" s="2">
        <v>64.977829999999997</v>
      </c>
      <c r="W133" s="6"/>
    </row>
    <row r="134" spans="1:23" ht="15" x14ac:dyDescent="0.2">
      <c r="A134" s="1" t="s">
        <v>44</v>
      </c>
      <c r="B134" s="1" t="s">
        <v>19</v>
      </c>
      <c r="C134" s="2">
        <v>6.67</v>
      </c>
      <c r="D134" s="2">
        <v>176</v>
      </c>
      <c r="E134" s="2">
        <v>28.24</v>
      </c>
      <c r="F134" s="2">
        <v>2.21</v>
      </c>
      <c r="G134" s="2">
        <v>88</v>
      </c>
      <c r="H134" s="2">
        <v>5682</v>
      </c>
      <c r="I134" s="2">
        <v>0.08</v>
      </c>
      <c r="J134" s="2">
        <v>138.9</v>
      </c>
      <c r="K134" s="2">
        <v>43.8</v>
      </c>
      <c r="L134" s="2">
        <f>(0.092/10)*1000</f>
        <v>9.1999999999999993</v>
      </c>
      <c r="M134" s="7">
        <v>830.91589999999997</v>
      </c>
      <c r="N134" s="7">
        <v>2444.1080000000002</v>
      </c>
      <c r="O134" s="2">
        <v>0.24527199999999999</v>
      </c>
      <c r="P134" s="2">
        <v>0.40395399999999998</v>
      </c>
      <c r="Q134" s="2">
        <v>31.181889999999999</v>
      </c>
      <c r="R134" s="2">
        <v>5.1264999999999998E-2</v>
      </c>
      <c r="S134" s="2">
        <v>0.30539699999999997</v>
      </c>
      <c r="T134" s="2">
        <v>1.1653020000000001</v>
      </c>
      <c r="U134" s="2">
        <v>51.207329999999999</v>
      </c>
      <c r="V134" s="2">
        <v>31.022490000000001</v>
      </c>
      <c r="W134" s="7"/>
    </row>
    <row r="135" spans="1:23" ht="12.75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2.75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2.75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2.75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2.75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2.75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2.75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2.75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2.75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2.7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2.7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2.7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2.7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2.7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2.7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2.7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2.7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2.7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2.7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2.7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2.7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2.7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2.7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2.7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2.7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2.7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2.7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2.7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2.75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2.75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2.75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2.75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2.75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2.75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2.75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2.75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2.75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2.75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2.75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2.75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2.75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2.75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2.75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2.75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2.75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2.75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2.75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2.75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2.75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2.75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2.75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2.75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2.75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2.75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2.75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2.75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2.75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2.75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2.75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2.75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2.75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2.75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2.75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2.75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2.75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2.75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2.75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2.75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2.75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2.75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2.75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2.75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2.75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2.7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2.7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2.7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2.7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2.75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2.75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2.75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2.75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2.75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2.75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2.7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2.7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2.7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2.7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1:23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1:23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1:23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1:23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1:23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1:23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1:23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O290" s="7"/>
      <c r="P290" s="7"/>
      <c r="Q290" s="7"/>
      <c r="R290" s="7"/>
      <c r="S290" s="7"/>
      <c r="T290" s="7"/>
      <c r="U290" s="7"/>
      <c r="V290" s="7"/>
      <c r="W290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para predçaõ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</dc:creator>
  <cp:lastModifiedBy>Sarah</cp:lastModifiedBy>
  <dcterms:created xsi:type="dcterms:W3CDTF">2025-11-04T19:37:23Z</dcterms:created>
  <dcterms:modified xsi:type="dcterms:W3CDTF">2025-11-16T19:35:40Z</dcterms:modified>
</cp:coreProperties>
</file>